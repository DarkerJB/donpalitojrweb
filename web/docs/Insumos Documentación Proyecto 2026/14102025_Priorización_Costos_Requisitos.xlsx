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Usuarios\DarkerJB\Escritorio\2995403\3-4_Proyecto_PYTHON\"/>
    </mc:Choice>
  </mc:AlternateContent>
  <xr:revisionPtr revIDLastSave="0" documentId="13_ncr:1_{48352E1A-EDCC-413A-8AD3-BE8C3FA8EF4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odularización" sheetId="11" r:id="rId1"/>
    <sheet name="Priorización" sheetId="10" r:id="rId2"/>
    <sheet name="Dificultad" sheetId="12" r:id="rId3"/>
  </sheets>
  <definedNames>
    <definedName name="_xlnm._FilterDatabase" localSheetId="1" hidden="1">Priorización!$A$7:$L$58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10" l="1"/>
  <c r="L21" i="10" s="1"/>
  <c r="K22" i="10"/>
  <c r="K23" i="10"/>
  <c r="K24" i="10"/>
  <c r="K25" i="10"/>
  <c r="K26" i="10"/>
  <c r="L26" i="10"/>
  <c r="K27" i="10"/>
  <c r="L27" i="10"/>
  <c r="K28" i="10"/>
  <c r="K29" i="10"/>
  <c r="K30" i="10"/>
  <c r="K31" i="10"/>
  <c r="L31" i="10"/>
  <c r="K32" i="10"/>
  <c r="L32" i="10"/>
  <c r="K33" i="10"/>
  <c r="L33" i="10"/>
  <c r="K34" i="10"/>
  <c r="K35" i="10"/>
  <c r="K36" i="10"/>
  <c r="K37" i="10"/>
  <c r="K38" i="10"/>
  <c r="L38" i="10"/>
  <c r="K39" i="10"/>
  <c r="L39" i="10" s="1"/>
  <c r="K40" i="10"/>
  <c r="K41" i="10"/>
  <c r="K42" i="10"/>
  <c r="K43" i="10"/>
  <c r="L43" i="10"/>
  <c r="K44" i="10"/>
  <c r="L44" i="10"/>
  <c r="K45" i="10"/>
  <c r="L45" i="10"/>
  <c r="K46" i="10"/>
  <c r="K47" i="10"/>
  <c r="K48" i="10"/>
  <c r="K49" i="10"/>
  <c r="K50" i="10"/>
  <c r="L50" i="10"/>
  <c r="K51" i="10"/>
  <c r="L51" i="10"/>
  <c r="K52" i="10"/>
  <c r="K53" i="10"/>
  <c r="K54" i="10"/>
  <c r="K55" i="10"/>
  <c r="L55" i="10"/>
  <c r="K56" i="10"/>
  <c r="L56" i="10" s="1"/>
  <c r="K57" i="10"/>
  <c r="L57" i="10"/>
  <c r="K58" i="10"/>
  <c r="K11" i="10"/>
  <c r="K12" i="10"/>
  <c r="K13" i="10"/>
  <c r="K14" i="10"/>
  <c r="L14" i="10"/>
  <c r="K15" i="10"/>
  <c r="L15" i="10" s="1"/>
  <c r="K16" i="10"/>
  <c r="K17" i="10"/>
  <c r="K18" i="10"/>
  <c r="K19" i="10"/>
  <c r="L19" i="10"/>
  <c r="K20" i="10"/>
  <c r="L20" i="10"/>
  <c r="K9" i="10"/>
  <c r="L9" i="10"/>
  <c r="K10" i="10"/>
  <c r="K8" i="10"/>
  <c r="H9" i="10"/>
  <c r="I9" i="10" s="1"/>
  <c r="H10" i="10"/>
  <c r="I10" i="10" s="1"/>
  <c r="H11" i="10"/>
  <c r="I11" i="10" s="1"/>
  <c r="H12" i="10"/>
  <c r="I12" i="10" s="1"/>
  <c r="H13" i="10"/>
  <c r="I13" i="10" s="1"/>
  <c r="H14" i="10"/>
  <c r="I14" i="10" s="1"/>
  <c r="H15" i="10"/>
  <c r="I15" i="10" s="1"/>
  <c r="H16" i="10"/>
  <c r="I16" i="10" s="1"/>
  <c r="H17" i="10"/>
  <c r="I17" i="10" s="1"/>
  <c r="H18" i="10"/>
  <c r="I18" i="10" s="1"/>
  <c r="H19" i="10"/>
  <c r="I19" i="10" s="1"/>
  <c r="H20" i="10"/>
  <c r="I20" i="10" s="1"/>
  <c r="H21" i="10"/>
  <c r="I21" i="10" s="1"/>
  <c r="H22" i="10"/>
  <c r="I22" i="10" s="1"/>
  <c r="H23" i="10"/>
  <c r="I23" i="10" s="1"/>
  <c r="H24" i="10"/>
  <c r="I24" i="10" s="1"/>
  <c r="H25" i="10"/>
  <c r="I25" i="10" s="1"/>
  <c r="L25" i="10" s="1"/>
  <c r="H26" i="10"/>
  <c r="I26" i="10" s="1"/>
  <c r="H27" i="10"/>
  <c r="I27" i="10" s="1"/>
  <c r="H28" i="10"/>
  <c r="I28" i="10" s="1"/>
  <c r="H29" i="10"/>
  <c r="I29" i="10" s="1"/>
  <c r="H30" i="10"/>
  <c r="I30" i="10" s="1"/>
  <c r="H31" i="10"/>
  <c r="I31" i="10" s="1"/>
  <c r="H32" i="10"/>
  <c r="I32" i="10" s="1"/>
  <c r="H33" i="10"/>
  <c r="I33" i="10" s="1"/>
  <c r="H34" i="10"/>
  <c r="I34" i="10" s="1"/>
  <c r="L34" i="10" s="1"/>
  <c r="H35" i="10"/>
  <c r="I35" i="10" s="1"/>
  <c r="L35" i="10" s="1"/>
  <c r="H36" i="10"/>
  <c r="I36" i="10" s="1"/>
  <c r="L36" i="10" s="1"/>
  <c r="H37" i="10"/>
  <c r="I37" i="10" s="1"/>
  <c r="L37" i="10" s="1"/>
  <c r="H38" i="10"/>
  <c r="I38" i="10" s="1"/>
  <c r="H39" i="10"/>
  <c r="I39" i="10" s="1"/>
  <c r="H40" i="10"/>
  <c r="I40" i="10" s="1"/>
  <c r="H41" i="10"/>
  <c r="I41" i="10" s="1"/>
  <c r="H42" i="10"/>
  <c r="I42" i="10" s="1"/>
  <c r="L42" i="10" s="1"/>
  <c r="H43" i="10"/>
  <c r="I43" i="10" s="1"/>
  <c r="H44" i="10"/>
  <c r="I44" i="10" s="1"/>
  <c r="H45" i="10"/>
  <c r="I45" i="10" s="1"/>
  <c r="H46" i="10"/>
  <c r="I46" i="10" s="1"/>
  <c r="L46" i="10" s="1"/>
  <c r="H47" i="10"/>
  <c r="I47" i="10" s="1"/>
  <c r="L47" i="10" s="1"/>
  <c r="H48" i="10"/>
  <c r="I48" i="10" s="1"/>
  <c r="L48" i="10" s="1"/>
  <c r="H49" i="10"/>
  <c r="I49" i="10" s="1"/>
  <c r="L49" i="10" s="1"/>
  <c r="H50" i="10"/>
  <c r="I50" i="10" s="1"/>
  <c r="H51" i="10"/>
  <c r="I51" i="10" s="1"/>
  <c r="H52" i="10"/>
  <c r="I52" i="10" s="1"/>
  <c r="L52" i="10" s="1"/>
  <c r="H53" i="10"/>
  <c r="I53" i="10" s="1"/>
  <c r="H54" i="10"/>
  <c r="I54" i="10" s="1"/>
  <c r="H55" i="10"/>
  <c r="I55" i="10" s="1"/>
  <c r="H56" i="10"/>
  <c r="I56" i="10" s="1"/>
  <c r="H57" i="10"/>
  <c r="I57" i="10" s="1"/>
  <c r="H58" i="10"/>
  <c r="I58" i="10" s="1"/>
  <c r="L58" i="10" s="1"/>
  <c r="H8" i="10"/>
  <c r="I8" i="10" s="1"/>
  <c r="L8" i="10" s="1"/>
  <c r="L54" i="10" l="1"/>
  <c r="L53" i="10"/>
  <c r="L41" i="10"/>
  <c r="L40" i="10"/>
  <c r="L30" i="10"/>
  <c r="L29" i="10"/>
  <c r="L28" i="10"/>
  <c r="L24" i="10"/>
  <c r="L23" i="10"/>
  <c r="L22" i="10"/>
  <c r="L18" i="10"/>
  <c r="L17" i="10"/>
  <c r="L16" i="10"/>
  <c r="L13" i="10"/>
  <c r="L12" i="10"/>
  <c r="L11" i="10"/>
  <c r="L10" i="10"/>
  <c r="L59" i="10" l="1"/>
</calcChain>
</file>

<file path=xl/sharedStrings.xml><?xml version="1.0" encoding="utf-8"?>
<sst xmlns="http://schemas.openxmlformats.org/spreadsheetml/2006/main" count="165" uniqueCount="108">
  <si>
    <t>Análisis y Diseño</t>
  </si>
  <si>
    <t>Desarrollo Frontend Web</t>
  </si>
  <si>
    <t>Desarrollo Frontend Móvil</t>
  </si>
  <si>
    <t>Desarrollo Backend</t>
  </si>
  <si>
    <t>Liderazgo</t>
  </si>
  <si>
    <t xml:space="preserve">Autenticación </t>
  </si>
  <si>
    <t>RF-01 El sistema debe permitir a los usuarios registrarse como clientes</t>
  </si>
  <si>
    <t>RF-02 El sistema debe permitir a los clientes iniciar sesión en su cuenta con sus credenciales.</t>
  </si>
  <si>
    <t>RF-03 El sistema debe proporcionar un mecanismo para que los clientes recuperen su contraseña olvidada y puedan acceder de nuevo a su cuenta.</t>
  </si>
  <si>
    <t xml:space="preserve">RF-04 El sistema debe permitir al cliente modificar su perfil. </t>
  </si>
  <si>
    <t xml:space="preserve">RF-05 El sistema debe permitir a los clientes cerrar su sesión de forma segura. </t>
  </si>
  <si>
    <t>RF-06 El sistema debe permitir al cliente desactivar su cuenta.</t>
  </si>
  <si>
    <t>RF-25 El sistema debe permitir a los nuevos administradores registrarse en el sistema proporcionando sus credenciales y datos de contacto.</t>
  </si>
  <si>
    <t>N/A</t>
  </si>
  <si>
    <t>RF-26 El sistema debe permitir a los administradores iniciar sesión de forma segura</t>
  </si>
  <si>
    <t>RF-27 El sistema debe permitir a los administradores cerrar su sesión de forma segura.</t>
  </si>
  <si>
    <t>RF-28 El sistema debe permitir a los administradores recuperar y cambiar su contraseña.</t>
  </si>
  <si>
    <t>RF-29 El sistema debe permitir a los administradores editar o modificar cuentas de usuario existentes.</t>
  </si>
  <si>
    <t>RF-30 El sistema debe permitir a los administradores desactivar o eliminar cuentas de usuario.</t>
  </si>
  <si>
    <t>RF-31 El sistema debe permitir a los administradores con sesión activa reactivar cuentas previamente desactivadas o eliminadas.</t>
  </si>
  <si>
    <t>Inventario / Productos</t>
  </si>
  <si>
    <t>RF-07 El sistema debe mostrar a los clientes un catálogo de los productos disponibles.</t>
  </si>
  <si>
    <t>RF-08 El sistema debe mostrar a los clientes los detalles de un producto (imagen, nombre, descripción, precio y disponibilidad).</t>
  </si>
  <si>
    <t>RF-09 El sistema debe permitir a los clientes aplicar un filtro de ordenamiento alfabéticamente  y por precio.</t>
  </si>
  <si>
    <t>RF-10 El sistema debe incluir una función de búsqueda rápida que permita a los clientes encontrar productos específicos.</t>
  </si>
  <si>
    <t>RF-11 El sistema debe mostrar claramente a los clientes las promociones vigentes en la página principal.</t>
  </si>
  <si>
    <t>RF-32 El sistema debe permitir a los administradores agregar productos al inventario.</t>
  </si>
  <si>
    <t>RF-33 El sistema debe permitir a los administradores modificar productos del inventario.</t>
  </si>
  <si>
    <t>RF-34 El sistema debe permitir a los administradores eliminar productos del inventario.</t>
  </si>
  <si>
    <t>RF-35 El sistema debe permitir a los administradores crear categorías de productos.</t>
  </si>
  <si>
    <t>RF-37 El sistema debe permitir a los administradores eliminar categorías de productos.</t>
  </si>
  <si>
    <t>RF-38 El sistema debe permitir a los administradores crear promociones y descuentos.</t>
  </si>
  <si>
    <t>RF-39 El sistema debe permitir a los administradores modificar promociones y descuentos existentes.</t>
  </si>
  <si>
    <t>RF-40 El sistema debe permitir a los administradores eliminar o desactivar promociones y descuentos.</t>
  </si>
  <si>
    <t xml:space="preserve">Ventas </t>
  </si>
  <si>
    <t>RF-12 El sistema debe permitir a los clientes agregar productos al carrito de compras.</t>
  </si>
  <si>
    <t>RF-13 El sistema debe permitir a los clientes modificar o eliminar productos del carrito de compras.</t>
  </si>
  <si>
    <t>RF-14 El sistema debe permitir a los clientes cancelar la compra de los productos en su carrito.</t>
  </si>
  <si>
    <t>RF-15 El sistema debe permitir a los clientes finalizar la compra de los productos en su carrito.</t>
  </si>
  <si>
    <t>RF-16 El sistema debe permitir que, una vez el cliente decida finalizar la compra de los productos en su carrito, sea redirigido a una sección de check-out, donde se aprecien los detalles de la compra (productos, cantidades, subtotal, iva, descuentos, total), datos de facturación (nombre, documento de identidad, dirección y teléfono) y  QR de pago.</t>
  </si>
  <si>
    <t>RF-17 El sistema debe permitir a los clientes ingresar y aplicar códigos de descuento válidos durante el proceso de compra.</t>
  </si>
  <si>
    <t xml:space="preserve">RF-18 El sistema debe proporcionar a los clientes un enlace de WhatsApp para que estos puedan enviar sus comprobantes de pago. </t>
  </si>
  <si>
    <t>RF-19 El sistema permitir a los clientes recibir una factura de su compra, una vez se confirme su pago.</t>
  </si>
  <si>
    <t>RF-20 El sistema debe permitir a los clientes recibir notificaciones vía correo electrónico sobre el estado de sus pedidos.</t>
  </si>
  <si>
    <t>RF-21 El sistema debe permitir a los clientes acceder en su perfil al historial de pedidos.</t>
  </si>
  <si>
    <t>RF-41  El sistema debe permitir al administrador registrar manualmente el estado del pedido (pendiente, pagado, rechazado, entregado).</t>
  </si>
  <si>
    <t>RF-42 El sistema debe actualizar el estado del pedido a "Pagado" o "Rechazado" según la validación del pago por parte del administrador.</t>
  </si>
  <si>
    <t>RF-43 El sistema debe permitir al administrador enviar correos electrónicos a los clientes notificando el estado de su pedido.</t>
  </si>
  <si>
    <t>RF-44 El sistema debe mostrar a los administradores una lista de todos los pedidos realizados.</t>
  </si>
  <si>
    <t>RF-45 El sistema debe permitir al administrador visualizar las facturas para cada compra realizada.</t>
  </si>
  <si>
    <t>RF-46 El sistema debe permitir al administrador paginar las facturas de cada compra realizada.</t>
  </si>
  <si>
    <t>Comunidad y Servicios</t>
  </si>
  <si>
    <t>RF-22 El sistema debe permitir a los clientes calificar y dejar reseñas de los productos que han comprado.</t>
  </si>
  <si>
    <t>RF-23 El sistema debe permitir a los clientes solicitar personalizaciones especificas en los empaques.</t>
  </si>
  <si>
    <t>RF-24 El sistema debe permitir a los clientes acceder a la ubicación de la cafetería en un mapa interactivo.</t>
  </si>
  <si>
    <t>RF-47 El sistema debe permitir a los administradores moderar los comentarios y calificaciones de los productos.</t>
  </si>
  <si>
    <t>Reportes</t>
  </si>
  <si>
    <t>RF-49 El sistema debe permitir a los administradores ver estadísticas de los productos.</t>
  </si>
  <si>
    <t>RF-50 El sistema debe permitir a los administradores exportar datos de ventas, inventario y clientes en formatos comunes (CSV, PDF).</t>
  </si>
  <si>
    <t>RF-51 El sistema debe permitir a los administradores generar informes de ventas por período.</t>
  </si>
  <si>
    <t>RF-36 El sistema debe permitir a los administradores modificar categorías de productos.</t>
  </si>
  <si>
    <t>RF-48 El sistema debe permitir a los administradores gestionar líneas de atención al cliente para brindar soporte.</t>
  </si>
  <si>
    <t>Nivel de esfuerzo</t>
  </si>
  <si>
    <t>Descripción general</t>
  </si>
  <si>
    <t>Desarrollo Backend / API</t>
  </si>
  <si>
    <t>Tareas simples, de baja complejidad o con pocos componentes involucrados.</t>
  </si>
  <si>
    <t>Análisis directo, sin dependencias ni modelado complejo.</t>
  </si>
  <si>
    <t>Pantallas simples, formularios básicos, sin mucha interacción.</t>
  </si>
  <si>
    <t>Interfaces ligeras, vistas estáticas o listados básicos.</t>
  </si>
  <si>
    <t>Endpoints CRUD sencillos, validaciones básicas, sin lógica de negocio profunda.</t>
  </si>
  <si>
    <t>Seguimiento ligero, revisión mínima o coordinación puntual.</t>
  </si>
  <si>
    <t>Requiere planeación moderada, algo de integración y coordinación entre módulos.</t>
  </si>
  <si>
    <t>Diseño de flujo con algunos casos alternos, validación de requisitos y modelado medio.</t>
  </si>
  <si>
    <t>Formularios con validaciones, manejo de datos dinámicos, consumo de API.</t>
  </si>
  <si>
    <t>Navegaciones con varios estados, integración con backend, validaciones visuales.</t>
  </si>
  <si>
    <t>Endpoints con lógica condicional, relaciones entre tablas, validaciones intermedias.</t>
  </si>
  <si>
    <t>Coordinación entre roles, revisión de entregas, planificación parcial del sprint.</t>
  </si>
  <si>
    <t>Alta complejidad técnica o funcional, múltiples dependencias o alto impacto.</t>
  </si>
  <si>
    <t>Requiere análisis detallado de procesos, modelado UML completo, flujos alternos complejos.</t>
  </si>
  <si>
    <t>Múltiples componentes, tablas interactivas, gráficos, flujos de usuario avanzados.</t>
  </si>
  <si>
    <t>Pantallas con sincronización en tiempo real, manejo offline o animaciones complejas.</t>
  </si>
  <si>
    <t>API compleja con autenticación, control de estados, triggers, tokens, roles o auditoría.</t>
  </si>
  <si>
    <t>Planificación estratégica, liderazgo de varios módulos, coordinación de versiones y despliegue.</t>
  </si>
  <si>
    <r>
      <t>8 -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
(Si amerita)</t>
    </r>
  </si>
  <si>
    <t>Liderazgo / PO</t>
  </si>
  <si>
    <r>
      <t xml:space="preserve"> </t>
    </r>
    <r>
      <rPr>
        <b/>
        <sz val="11"/>
        <color theme="1"/>
        <rFont val="Calibri"/>
        <family val="2"/>
        <scheme val="minor"/>
      </rPr>
      <t>Bajo</t>
    </r>
  </si>
  <si>
    <t>Medio</t>
  </si>
  <si>
    <t>Alto</t>
  </si>
  <si>
    <t>MÓDULOS</t>
  </si>
  <si>
    <t>REQUISITOS</t>
  </si>
  <si>
    <t>TOTAL (PH)</t>
  </si>
  <si>
    <t>TOTAL HORAS</t>
  </si>
  <si>
    <t>PRIORIZACIÓN (Trabajo conjunto de Product Owner/Frontend/Backend/UI)</t>
  </si>
  <si>
    <t>SUMA 
SALARIOS</t>
  </si>
  <si>
    <t>COSTO 
TOTAL</t>
  </si>
  <si>
    <t>COSTO HORA 
(220 x Mes)</t>
  </si>
  <si>
    <t>COSTOS (Valor en horas  de todos los roles)</t>
  </si>
  <si>
    <t>CARGO</t>
  </si>
  <si>
    <t>SALARIO</t>
  </si>
  <si>
    <t>$3,500,000</t>
  </si>
  <si>
    <t>$2,500,000</t>
  </si>
  <si>
    <t>Dev Backend (SS)</t>
  </si>
  <si>
    <t>Dev Frontend Web (JN)</t>
  </si>
  <si>
    <t>Dev Frontend Mobile (JN)</t>
  </si>
  <si>
    <r>
      <t xml:space="preserve">1 - 2 
</t>
    </r>
    <r>
      <rPr>
        <sz val="11"/>
        <color theme="1"/>
        <rFont val="Calibri"/>
        <family val="2"/>
        <scheme val="minor"/>
      </rPr>
      <t>(Si amerita)</t>
    </r>
  </si>
  <si>
    <t>TOTAL COSTOS DEL PROYECTO</t>
  </si>
  <si>
    <r>
      <t xml:space="preserve">3 - 5 
</t>
    </r>
    <r>
      <rPr>
        <sz val="11"/>
        <color theme="1"/>
        <rFont val="Calibri"/>
        <family val="2"/>
        <scheme val="minor"/>
      </rPr>
      <t>(Si amerita)</t>
    </r>
  </si>
  <si>
    <t>Puntos Historia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</si>
</sst>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8DEF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5" borderId="13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8" borderId="18" xfId="0" applyFont="1" applyFill="1" applyBorder="1" applyAlignment="1">
      <alignment horizontal="center" vertical="center" wrapText="1"/>
    </xf>
    <xf numFmtId="0" fontId="1" fillId="8" borderId="20" xfId="0" applyFont="1" applyFill="1" applyBorder="1" applyAlignment="1">
      <alignment horizontal="center" vertical="center" wrapText="1"/>
    </xf>
    <xf numFmtId="0" fontId="1" fillId="8" borderId="21" xfId="0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vertical="center" wrapText="1"/>
    </xf>
    <xf numFmtId="0" fontId="0" fillId="9" borderId="19" xfId="0" applyFill="1" applyBorder="1" applyAlignment="1">
      <alignment horizontal="left" vertical="center" wrapText="1"/>
    </xf>
    <xf numFmtId="0" fontId="0" fillId="9" borderId="23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left" vertical="center" wrapText="1"/>
    </xf>
    <xf numFmtId="0" fontId="0" fillId="10" borderId="24" xfId="0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left" vertical="center" wrapText="1"/>
    </xf>
    <xf numFmtId="0" fontId="0" fillId="11" borderId="25" xfId="0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6" borderId="1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27" xfId="0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justify" vertical="center" wrapText="1"/>
    </xf>
    <xf numFmtId="0" fontId="0" fillId="2" borderId="8" xfId="0" applyFill="1" applyBorder="1" applyAlignment="1">
      <alignment horizontal="justify" vertical="center" wrapText="1"/>
    </xf>
    <xf numFmtId="0" fontId="0" fillId="2" borderId="8" xfId="0" applyFill="1" applyBorder="1" applyAlignment="1">
      <alignment horizontal="justify" vertical="center"/>
    </xf>
    <xf numFmtId="0" fontId="0" fillId="2" borderId="10" xfId="0" applyFill="1" applyBorder="1" applyAlignment="1">
      <alignment horizontal="justify" vertical="center" wrapText="1"/>
    </xf>
    <xf numFmtId="0" fontId="0" fillId="3" borderId="7" xfId="0" applyFill="1" applyBorder="1" applyAlignment="1">
      <alignment horizontal="justify" vertical="center" wrapText="1"/>
    </xf>
    <xf numFmtId="0" fontId="0" fillId="3" borderId="8" xfId="0" applyFill="1" applyBorder="1" applyAlignment="1">
      <alignment horizontal="justify" vertical="center" wrapText="1"/>
    </xf>
    <xf numFmtId="0" fontId="0" fillId="3" borderId="10" xfId="0" applyFill="1" applyBorder="1" applyAlignment="1">
      <alignment horizontal="justify" vertical="center" wrapText="1"/>
    </xf>
    <xf numFmtId="0" fontId="0" fillId="4" borderId="7" xfId="0" applyFill="1" applyBorder="1" applyAlignment="1">
      <alignment horizontal="justify" vertical="center" wrapText="1"/>
    </xf>
    <xf numFmtId="0" fontId="0" fillId="4" borderId="8" xfId="0" applyFill="1" applyBorder="1" applyAlignment="1">
      <alignment horizontal="justify" vertical="center" wrapText="1"/>
    </xf>
    <xf numFmtId="0" fontId="0" fillId="4" borderId="10" xfId="0" applyFill="1" applyBorder="1" applyAlignment="1">
      <alignment horizontal="justify" vertical="center" wrapText="1"/>
    </xf>
    <xf numFmtId="0" fontId="0" fillId="6" borderId="7" xfId="0" applyFill="1" applyBorder="1" applyAlignment="1">
      <alignment horizontal="justify" vertical="center" wrapText="1"/>
    </xf>
    <xf numFmtId="0" fontId="0" fillId="6" borderId="8" xfId="0" applyFill="1" applyBorder="1" applyAlignment="1">
      <alignment horizontal="justify" vertical="center" wrapText="1"/>
    </xf>
    <xf numFmtId="0" fontId="0" fillId="6" borderId="10" xfId="0" applyFill="1" applyBorder="1" applyAlignment="1">
      <alignment horizontal="justify" vertical="center" wrapText="1"/>
    </xf>
    <xf numFmtId="0" fontId="0" fillId="7" borderId="7" xfId="0" applyFill="1" applyBorder="1" applyAlignment="1">
      <alignment horizontal="justify" vertical="center" wrapText="1"/>
    </xf>
    <xf numFmtId="0" fontId="0" fillId="7" borderId="8" xfId="0" applyFill="1" applyBorder="1" applyAlignment="1">
      <alignment horizontal="justify" vertical="center" wrapText="1"/>
    </xf>
    <xf numFmtId="0" fontId="0" fillId="7" borderId="9" xfId="0" applyFill="1" applyBorder="1" applyAlignment="1">
      <alignment horizontal="justify" vertical="center" wrapText="1"/>
    </xf>
    <xf numFmtId="0" fontId="1" fillId="5" borderId="33" xfId="0" applyFont="1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16" fontId="1" fillId="9" borderId="2" xfId="0" applyNumberFormat="1" applyFont="1" applyFill="1" applyBorder="1" applyAlignment="1">
      <alignment horizontal="center" vertical="center" wrapText="1"/>
    </xf>
    <xf numFmtId="164" fontId="1" fillId="8" borderId="18" xfId="0" applyNumberFormat="1" applyFont="1" applyFill="1" applyBorder="1"/>
    <xf numFmtId="3" fontId="0" fillId="2" borderId="2" xfId="0" applyNumberFormat="1" applyFill="1" applyBorder="1" applyAlignment="1">
      <alignment horizontal="center" vertical="center"/>
    </xf>
    <xf numFmtId="3" fontId="0" fillId="2" borderId="3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center" vertical="center"/>
    </xf>
    <xf numFmtId="3" fontId="0" fillId="2" borderId="11" xfId="0" applyNumberFormat="1" applyFill="1" applyBorder="1" applyAlignment="1">
      <alignment horizontal="center" vertical="center"/>
    </xf>
    <xf numFmtId="3" fontId="0" fillId="2" borderId="12" xfId="0" applyNumberFormat="1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3" borderId="4" xfId="0" applyNumberFormat="1" applyFill="1" applyBorder="1" applyAlignment="1">
      <alignment horizontal="center" vertical="center"/>
    </xf>
    <xf numFmtId="3" fontId="0" fillId="3" borderId="11" xfId="0" applyNumberFormat="1" applyFill="1" applyBorder="1" applyAlignment="1">
      <alignment horizontal="center" vertical="center"/>
    </xf>
    <xf numFmtId="3" fontId="0" fillId="3" borderId="12" xfId="0" applyNumberFormat="1" applyFill="1" applyBorder="1" applyAlignment="1">
      <alignment horizontal="center" vertical="center"/>
    </xf>
    <xf numFmtId="3" fontId="0" fillId="4" borderId="2" xfId="0" applyNumberFormat="1" applyFill="1" applyBorder="1" applyAlignment="1">
      <alignment horizontal="center" vertical="center"/>
    </xf>
    <xf numFmtId="3" fontId="0" fillId="4" borderId="3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4" xfId="0" applyNumberFormat="1" applyFill="1" applyBorder="1" applyAlignment="1">
      <alignment horizontal="center" vertical="center"/>
    </xf>
    <xf numFmtId="3" fontId="0" fillId="4" borderId="11" xfId="0" applyNumberFormat="1" applyFill="1" applyBorder="1" applyAlignment="1">
      <alignment horizontal="center" vertical="center"/>
    </xf>
    <xf numFmtId="3" fontId="0" fillId="4" borderId="12" xfId="0" applyNumberFormat="1" applyFill="1" applyBorder="1" applyAlignment="1">
      <alignment horizontal="center" vertical="center"/>
    </xf>
    <xf numFmtId="3" fontId="0" fillId="6" borderId="2" xfId="0" applyNumberFormat="1" applyFill="1" applyBorder="1" applyAlignment="1">
      <alignment horizontal="center" vertical="center"/>
    </xf>
    <xf numFmtId="3" fontId="0" fillId="6" borderId="3" xfId="0" applyNumberForma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3" fontId="0" fillId="6" borderId="4" xfId="0" applyNumberFormat="1" applyFill="1" applyBorder="1" applyAlignment="1">
      <alignment horizontal="center" vertical="center"/>
    </xf>
    <xf numFmtId="3" fontId="0" fillId="6" borderId="11" xfId="0" applyNumberFormat="1" applyFill="1" applyBorder="1" applyAlignment="1">
      <alignment horizontal="center" vertical="center"/>
    </xf>
    <xf numFmtId="3" fontId="0" fillId="6" borderId="12" xfId="0" applyNumberFormat="1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3" fontId="0" fillId="7" borderId="3" xfId="0" applyNumberForma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3" fontId="0" fillId="7" borderId="4" xfId="0" applyNumberFormat="1" applyFill="1" applyBorder="1" applyAlignment="1">
      <alignment horizontal="center" vertical="center"/>
    </xf>
    <xf numFmtId="3" fontId="0" fillId="7" borderId="5" xfId="0" applyNumberFormat="1" applyFill="1" applyBorder="1" applyAlignment="1">
      <alignment horizontal="center" vertical="center"/>
    </xf>
    <xf numFmtId="3" fontId="0" fillId="7" borderId="6" xfId="0" applyNumberForma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12" borderId="25" xfId="0" applyFont="1" applyFill="1" applyBorder="1" applyAlignment="1">
      <alignment horizontal="left"/>
    </xf>
    <xf numFmtId="0" fontId="1" fillId="12" borderId="5" xfId="0" applyFont="1" applyFill="1" applyBorder="1" applyAlignment="1">
      <alignment horizontal="left"/>
    </xf>
    <xf numFmtId="164" fontId="0" fillId="12" borderId="1" xfId="0" applyNumberFormat="1" applyFill="1" applyBorder="1" applyAlignment="1">
      <alignment horizontal="center"/>
    </xf>
    <xf numFmtId="164" fontId="0" fillId="12" borderId="4" xfId="0" applyNumberFormat="1" applyFill="1" applyBorder="1" applyAlignment="1">
      <alignment horizontal="center"/>
    </xf>
    <xf numFmtId="164" fontId="0" fillId="12" borderId="5" xfId="0" applyNumberFormat="1" applyFill="1" applyBorder="1" applyAlignment="1">
      <alignment horizontal="center"/>
    </xf>
    <xf numFmtId="164" fontId="0" fillId="12" borderId="6" xfId="0" applyNumberFormat="1" applyFill="1" applyBorder="1" applyAlignment="1">
      <alignment horizontal="center"/>
    </xf>
    <xf numFmtId="0" fontId="1" fillId="5" borderId="30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12" borderId="24" xfId="0" applyFont="1" applyFill="1" applyBorder="1" applyAlignment="1">
      <alignment horizontal="left"/>
    </xf>
    <xf numFmtId="0" fontId="1" fillId="12" borderId="1" xfId="0" applyFont="1" applyFill="1" applyBorder="1" applyAlignment="1">
      <alignment horizontal="left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DE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396240</xdr:colOff>
      <xdr:row>28</xdr:row>
      <xdr:rowOff>93082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60A7AC-41D4-8D26-63CD-7D661D811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28560" cy="52137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96942-8308-47F7-9A09-70726BA5AF23}">
  <dimension ref="A1"/>
  <sheetViews>
    <sheetView workbookViewId="0">
      <selection activeCell="M11" sqref="M1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623F-AAD5-45FD-831D-E96425AE65F3}">
  <dimension ref="A1:L113"/>
  <sheetViews>
    <sheetView topLeftCell="A52" zoomScaleNormal="100" workbookViewId="0">
      <selection activeCell="K66" sqref="K66"/>
    </sheetView>
  </sheetViews>
  <sheetFormatPr baseColWidth="10" defaultColWidth="8.88671875" defaultRowHeight="15" customHeight="1" x14ac:dyDescent="0.3"/>
  <cols>
    <col min="1" max="1" width="20.44140625" bestFit="1" customWidth="1"/>
    <col min="2" max="2" width="63.109375" bestFit="1" customWidth="1"/>
    <col min="3" max="3" width="9.109375" bestFit="1" customWidth="1"/>
    <col min="4" max="4" width="13" style="59" bestFit="1" customWidth="1"/>
    <col min="5" max="5" width="13.88671875" bestFit="1" customWidth="1"/>
    <col min="6" max="6" width="9.44140625" bestFit="1" customWidth="1"/>
    <col min="7" max="7" width="9" bestFit="1" customWidth="1"/>
    <col min="8" max="8" width="10.5546875" bestFit="1" customWidth="1"/>
    <col min="9" max="9" width="12.77734375" bestFit="1" customWidth="1"/>
    <col min="10" max="10" width="9.33203125" bestFit="1" customWidth="1"/>
    <col min="11" max="11" width="12.5546875" bestFit="1" customWidth="1"/>
    <col min="12" max="12" width="11.5546875" bestFit="1" customWidth="1"/>
  </cols>
  <sheetData>
    <row r="1" spans="1:12" ht="15" customHeight="1" thickBot="1" x14ac:dyDescent="0.35">
      <c r="I1" s="158" t="s">
        <v>97</v>
      </c>
      <c r="J1" s="159"/>
      <c r="K1" s="159" t="s">
        <v>98</v>
      </c>
      <c r="L1" s="160"/>
    </row>
    <row r="2" spans="1:12" ht="15" customHeight="1" x14ac:dyDescent="0.3">
      <c r="I2" s="161" t="s">
        <v>101</v>
      </c>
      <c r="J2" s="162"/>
      <c r="K2" s="154" t="s">
        <v>99</v>
      </c>
      <c r="L2" s="155"/>
    </row>
    <row r="3" spans="1:12" ht="15" customHeight="1" x14ac:dyDescent="0.3">
      <c r="I3" s="161" t="s">
        <v>102</v>
      </c>
      <c r="J3" s="162"/>
      <c r="K3" s="154" t="s">
        <v>100</v>
      </c>
      <c r="L3" s="155"/>
    </row>
    <row r="4" spans="1:12" ht="15" customHeight="1" thickBot="1" x14ac:dyDescent="0.35">
      <c r="I4" s="152" t="s">
        <v>103</v>
      </c>
      <c r="J4" s="153"/>
      <c r="K4" s="156" t="s">
        <v>100</v>
      </c>
      <c r="L4" s="157"/>
    </row>
    <row r="5" spans="1:12" ht="15" customHeight="1" thickBot="1" x14ac:dyDescent="0.35"/>
    <row r="6" spans="1:12" s="40" customFormat="1" ht="15" customHeight="1" thickBot="1" x14ac:dyDescent="0.35">
      <c r="A6" s="175" t="s">
        <v>88</v>
      </c>
      <c r="B6" s="175" t="s">
        <v>89</v>
      </c>
      <c r="C6" s="163" t="s">
        <v>92</v>
      </c>
      <c r="D6" s="164"/>
      <c r="E6" s="164"/>
      <c r="F6" s="164"/>
      <c r="G6" s="164"/>
      <c r="H6" s="165"/>
      <c r="I6" s="166" t="s">
        <v>96</v>
      </c>
      <c r="J6" s="167"/>
      <c r="K6" s="167"/>
      <c r="L6" s="168"/>
    </row>
    <row r="7" spans="1:12" s="69" customFormat="1" ht="29.4" thickBot="1" x14ac:dyDescent="0.35">
      <c r="A7" s="176"/>
      <c r="B7" s="176"/>
      <c r="C7" s="89" t="s">
        <v>0</v>
      </c>
      <c r="D7" s="36" t="s">
        <v>1</v>
      </c>
      <c r="E7" s="36" t="s">
        <v>2</v>
      </c>
      <c r="F7" s="36" t="s">
        <v>3</v>
      </c>
      <c r="G7" s="37" t="s">
        <v>4</v>
      </c>
      <c r="H7" s="38" t="s">
        <v>90</v>
      </c>
      <c r="I7" s="70" t="s">
        <v>91</v>
      </c>
      <c r="J7" s="71" t="s">
        <v>93</v>
      </c>
      <c r="K7" s="71" t="s">
        <v>95</v>
      </c>
      <c r="L7" s="72" t="s">
        <v>94</v>
      </c>
    </row>
    <row r="8" spans="1:12" ht="21.75" customHeight="1" x14ac:dyDescent="0.3">
      <c r="A8" s="180" t="s">
        <v>5</v>
      </c>
      <c r="B8" s="73" t="s">
        <v>6</v>
      </c>
      <c r="C8" s="90">
        <v>3</v>
      </c>
      <c r="D8" s="24">
        <v>5</v>
      </c>
      <c r="E8" s="3">
        <v>5</v>
      </c>
      <c r="F8" s="3">
        <v>8</v>
      </c>
      <c r="G8" s="24">
        <v>2</v>
      </c>
      <c r="H8" s="4">
        <f>SUM(C8:G8)</f>
        <v>23</v>
      </c>
      <c r="I8" s="105">
        <f>H8*2</f>
        <v>46</v>
      </c>
      <c r="J8" s="119">
        <v>8500000</v>
      </c>
      <c r="K8" s="119">
        <f>J8/220</f>
        <v>38636.36363636364</v>
      </c>
      <c r="L8" s="120">
        <f>PRODUCT(I8, K8)</f>
        <v>1777272.7272727275</v>
      </c>
    </row>
    <row r="9" spans="1:12" ht="28.8" customHeight="1" x14ac:dyDescent="0.3">
      <c r="A9" s="181"/>
      <c r="B9" s="74" t="s">
        <v>7</v>
      </c>
      <c r="C9" s="91">
        <v>3</v>
      </c>
      <c r="D9" s="25">
        <v>5</v>
      </c>
      <c r="E9" s="2">
        <v>5</v>
      </c>
      <c r="F9" s="2">
        <v>8</v>
      </c>
      <c r="G9" s="25">
        <v>2</v>
      </c>
      <c r="H9" s="5">
        <f t="shared" ref="H9:H58" si="0">SUM(C9:G9)</f>
        <v>23</v>
      </c>
      <c r="I9" s="106">
        <f t="shared" ref="I9:I58" si="1">H9*2</f>
        <v>46</v>
      </c>
      <c r="J9" s="121">
        <v>8500000</v>
      </c>
      <c r="K9" s="121">
        <f t="shared" ref="K9:K58" si="2">J9/220</f>
        <v>38636.36363636364</v>
      </c>
      <c r="L9" s="122">
        <f t="shared" ref="L9:L11" si="3">PRODUCT(I9, K9)</f>
        <v>1777272.7272727275</v>
      </c>
    </row>
    <row r="10" spans="1:12" ht="28.8" customHeight="1" x14ac:dyDescent="0.3">
      <c r="A10" s="181"/>
      <c r="B10" s="74" t="s">
        <v>8</v>
      </c>
      <c r="C10" s="91">
        <v>5</v>
      </c>
      <c r="D10" s="25">
        <v>5</v>
      </c>
      <c r="E10" s="2">
        <v>8</v>
      </c>
      <c r="F10" s="2">
        <v>8</v>
      </c>
      <c r="G10" s="25">
        <v>3</v>
      </c>
      <c r="H10" s="5">
        <f t="shared" si="0"/>
        <v>29</v>
      </c>
      <c r="I10" s="106">
        <f t="shared" si="1"/>
        <v>58</v>
      </c>
      <c r="J10" s="121">
        <v>8500000</v>
      </c>
      <c r="K10" s="121">
        <f t="shared" si="2"/>
        <v>38636.36363636364</v>
      </c>
      <c r="L10" s="122">
        <f t="shared" si="3"/>
        <v>2240909.0909090913</v>
      </c>
    </row>
    <row r="11" spans="1:12" ht="14.4" x14ac:dyDescent="0.3">
      <c r="A11" s="181"/>
      <c r="B11" s="75" t="s">
        <v>9</v>
      </c>
      <c r="C11" s="91">
        <v>5</v>
      </c>
      <c r="D11" s="25">
        <v>5</v>
      </c>
      <c r="E11" s="2">
        <v>5</v>
      </c>
      <c r="F11" s="2">
        <v>5</v>
      </c>
      <c r="G11" s="25">
        <v>3</v>
      </c>
      <c r="H11" s="5">
        <f t="shared" si="0"/>
        <v>23</v>
      </c>
      <c r="I11" s="106">
        <f t="shared" si="1"/>
        <v>46</v>
      </c>
      <c r="J11" s="121">
        <v>8500000</v>
      </c>
      <c r="K11" s="121">
        <f t="shared" si="2"/>
        <v>38636.36363636364</v>
      </c>
      <c r="L11" s="122">
        <f t="shared" si="3"/>
        <v>1777272.7272727275</v>
      </c>
    </row>
    <row r="12" spans="1:12" ht="28.8" x14ac:dyDescent="0.3">
      <c r="A12" s="181"/>
      <c r="B12" s="74" t="s">
        <v>10</v>
      </c>
      <c r="C12" s="91">
        <v>2</v>
      </c>
      <c r="D12" s="25">
        <v>2</v>
      </c>
      <c r="E12" s="2">
        <v>3</v>
      </c>
      <c r="F12" s="2">
        <v>3</v>
      </c>
      <c r="G12" s="25">
        <v>1</v>
      </c>
      <c r="H12" s="5">
        <f t="shared" si="0"/>
        <v>11</v>
      </c>
      <c r="I12" s="106">
        <f t="shared" si="1"/>
        <v>22</v>
      </c>
      <c r="J12" s="121">
        <v>8500000</v>
      </c>
      <c r="K12" s="121">
        <f t="shared" si="2"/>
        <v>38636.36363636364</v>
      </c>
      <c r="L12" s="122">
        <f t="shared" ref="L12:L24" si="4">PRODUCT(I12, K12)</f>
        <v>850000.00000000012</v>
      </c>
    </row>
    <row r="13" spans="1:12" ht="14.4" x14ac:dyDescent="0.3">
      <c r="A13" s="181"/>
      <c r="B13" s="75" t="s">
        <v>11</v>
      </c>
      <c r="C13" s="91">
        <v>3</v>
      </c>
      <c r="D13" s="25">
        <v>3</v>
      </c>
      <c r="E13" s="2">
        <v>8</v>
      </c>
      <c r="F13" s="2">
        <v>8</v>
      </c>
      <c r="G13" s="25">
        <v>2</v>
      </c>
      <c r="H13" s="5">
        <f t="shared" si="0"/>
        <v>24</v>
      </c>
      <c r="I13" s="106">
        <f t="shared" si="1"/>
        <v>48</v>
      </c>
      <c r="J13" s="121">
        <v>8500000</v>
      </c>
      <c r="K13" s="121">
        <f t="shared" si="2"/>
        <v>38636.36363636364</v>
      </c>
      <c r="L13" s="122">
        <f t="shared" si="4"/>
        <v>1854545.4545454546</v>
      </c>
    </row>
    <row r="14" spans="1:12" ht="36.75" customHeight="1" x14ac:dyDescent="0.3">
      <c r="A14" s="181"/>
      <c r="B14" s="74" t="s">
        <v>12</v>
      </c>
      <c r="C14" s="91">
        <v>3</v>
      </c>
      <c r="D14" s="2" t="s">
        <v>13</v>
      </c>
      <c r="E14" s="2" t="s">
        <v>13</v>
      </c>
      <c r="F14" s="25">
        <v>5</v>
      </c>
      <c r="G14" s="25">
        <v>3</v>
      </c>
      <c r="H14" s="5">
        <f t="shared" si="0"/>
        <v>11</v>
      </c>
      <c r="I14" s="106">
        <f t="shared" si="1"/>
        <v>22</v>
      </c>
      <c r="J14" s="121">
        <v>3500000</v>
      </c>
      <c r="K14" s="121">
        <f t="shared" si="2"/>
        <v>15909.09090909091</v>
      </c>
      <c r="L14" s="122">
        <f t="shared" si="4"/>
        <v>350000</v>
      </c>
    </row>
    <row r="15" spans="1:12" ht="28.8" x14ac:dyDescent="0.3">
      <c r="A15" s="181"/>
      <c r="B15" s="74" t="s">
        <v>14</v>
      </c>
      <c r="C15" s="91">
        <v>3</v>
      </c>
      <c r="D15" s="2" t="s">
        <v>13</v>
      </c>
      <c r="E15" s="2" t="s">
        <v>13</v>
      </c>
      <c r="F15" s="25">
        <v>5</v>
      </c>
      <c r="G15" s="25">
        <v>3</v>
      </c>
      <c r="H15" s="5">
        <f t="shared" si="0"/>
        <v>11</v>
      </c>
      <c r="I15" s="106">
        <f t="shared" si="1"/>
        <v>22</v>
      </c>
      <c r="J15" s="121">
        <v>3500000</v>
      </c>
      <c r="K15" s="121">
        <f t="shared" si="2"/>
        <v>15909.09090909091</v>
      </c>
      <c r="L15" s="122">
        <f t="shared" si="4"/>
        <v>350000</v>
      </c>
    </row>
    <row r="16" spans="1:12" ht="28.8" x14ac:dyDescent="0.3">
      <c r="A16" s="181"/>
      <c r="B16" s="74" t="s">
        <v>15</v>
      </c>
      <c r="C16" s="91">
        <v>2</v>
      </c>
      <c r="D16" s="2" t="s">
        <v>13</v>
      </c>
      <c r="E16" s="2" t="s">
        <v>13</v>
      </c>
      <c r="F16" s="25">
        <v>3</v>
      </c>
      <c r="G16" s="25">
        <v>1</v>
      </c>
      <c r="H16" s="5">
        <f t="shared" si="0"/>
        <v>6</v>
      </c>
      <c r="I16" s="106">
        <f t="shared" si="1"/>
        <v>12</v>
      </c>
      <c r="J16" s="121">
        <v>3500000</v>
      </c>
      <c r="K16" s="121">
        <f t="shared" si="2"/>
        <v>15909.09090909091</v>
      </c>
      <c r="L16" s="122">
        <f t="shared" si="4"/>
        <v>190909.09090909091</v>
      </c>
    </row>
    <row r="17" spans="1:12" ht="28.8" x14ac:dyDescent="0.3">
      <c r="A17" s="181"/>
      <c r="B17" s="74" t="s">
        <v>16</v>
      </c>
      <c r="C17" s="91">
        <v>5</v>
      </c>
      <c r="D17" s="2" t="s">
        <v>13</v>
      </c>
      <c r="E17" s="2" t="s">
        <v>13</v>
      </c>
      <c r="F17" s="25">
        <v>8</v>
      </c>
      <c r="G17" s="25">
        <v>3</v>
      </c>
      <c r="H17" s="5">
        <f t="shared" si="0"/>
        <v>16</v>
      </c>
      <c r="I17" s="106">
        <f t="shared" si="1"/>
        <v>32</v>
      </c>
      <c r="J17" s="121">
        <v>3500000</v>
      </c>
      <c r="K17" s="121">
        <f t="shared" si="2"/>
        <v>15909.09090909091</v>
      </c>
      <c r="L17" s="122">
        <f t="shared" si="4"/>
        <v>509090.90909090912</v>
      </c>
    </row>
    <row r="18" spans="1:12" ht="28.8" x14ac:dyDescent="0.3">
      <c r="A18" s="181"/>
      <c r="B18" s="74" t="s">
        <v>17</v>
      </c>
      <c r="C18" s="91">
        <v>8</v>
      </c>
      <c r="D18" s="2" t="s">
        <v>13</v>
      </c>
      <c r="E18" s="2" t="s">
        <v>13</v>
      </c>
      <c r="F18" s="25">
        <v>13</v>
      </c>
      <c r="G18" s="25">
        <v>5</v>
      </c>
      <c r="H18" s="5">
        <f t="shared" si="0"/>
        <v>26</v>
      </c>
      <c r="I18" s="106">
        <f t="shared" si="1"/>
        <v>52</v>
      </c>
      <c r="J18" s="121">
        <v>3500000</v>
      </c>
      <c r="K18" s="121">
        <f t="shared" si="2"/>
        <v>15909.09090909091</v>
      </c>
      <c r="L18" s="122">
        <f t="shared" si="4"/>
        <v>827272.72727272729</v>
      </c>
    </row>
    <row r="19" spans="1:12" ht="28.8" x14ac:dyDescent="0.3">
      <c r="A19" s="181"/>
      <c r="B19" s="74" t="s">
        <v>18</v>
      </c>
      <c r="C19" s="91">
        <v>5</v>
      </c>
      <c r="D19" s="2" t="s">
        <v>13</v>
      </c>
      <c r="E19" s="2" t="s">
        <v>13</v>
      </c>
      <c r="F19" s="25">
        <v>8</v>
      </c>
      <c r="G19" s="25">
        <v>3</v>
      </c>
      <c r="H19" s="5">
        <f t="shared" si="0"/>
        <v>16</v>
      </c>
      <c r="I19" s="106">
        <f t="shared" si="1"/>
        <v>32</v>
      </c>
      <c r="J19" s="121">
        <v>3500000</v>
      </c>
      <c r="K19" s="121">
        <f t="shared" si="2"/>
        <v>15909.09090909091</v>
      </c>
      <c r="L19" s="122">
        <f t="shared" si="4"/>
        <v>509090.90909090912</v>
      </c>
    </row>
    <row r="20" spans="1:12" ht="29.4" thickBot="1" x14ac:dyDescent="0.35">
      <c r="A20" s="182"/>
      <c r="B20" s="76" t="s">
        <v>19</v>
      </c>
      <c r="C20" s="92">
        <v>5</v>
      </c>
      <c r="D20" s="6" t="s">
        <v>13</v>
      </c>
      <c r="E20" s="6" t="s">
        <v>13</v>
      </c>
      <c r="F20" s="26">
        <v>8</v>
      </c>
      <c r="G20" s="26">
        <v>3</v>
      </c>
      <c r="H20" s="7">
        <f t="shared" si="0"/>
        <v>16</v>
      </c>
      <c r="I20" s="107">
        <f t="shared" si="1"/>
        <v>32</v>
      </c>
      <c r="J20" s="123">
        <v>3500000</v>
      </c>
      <c r="K20" s="123">
        <f t="shared" si="2"/>
        <v>15909.09090909091</v>
      </c>
      <c r="L20" s="124">
        <f t="shared" si="4"/>
        <v>509090.90909090912</v>
      </c>
    </row>
    <row r="21" spans="1:12" ht="28.8" x14ac:dyDescent="0.3">
      <c r="A21" s="183" t="s">
        <v>20</v>
      </c>
      <c r="B21" s="77" t="s">
        <v>21</v>
      </c>
      <c r="C21" s="93">
        <v>3</v>
      </c>
      <c r="D21" s="27">
        <v>8</v>
      </c>
      <c r="E21" s="9">
        <v>5</v>
      </c>
      <c r="F21" s="9">
        <v>5</v>
      </c>
      <c r="G21" s="27">
        <v>2</v>
      </c>
      <c r="H21" s="10">
        <f t="shared" si="0"/>
        <v>23</v>
      </c>
      <c r="I21" s="108">
        <f t="shared" si="1"/>
        <v>46</v>
      </c>
      <c r="J21" s="125">
        <v>8500000</v>
      </c>
      <c r="K21" s="125">
        <f t="shared" si="2"/>
        <v>38636.36363636364</v>
      </c>
      <c r="L21" s="126">
        <f t="shared" si="4"/>
        <v>1777272.7272727275</v>
      </c>
    </row>
    <row r="22" spans="1:12" ht="28.8" x14ac:dyDescent="0.3">
      <c r="A22" s="184"/>
      <c r="B22" s="78" t="s">
        <v>22</v>
      </c>
      <c r="C22" s="94">
        <v>3</v>
      </c>
      <c r="D22" s="28">
        <v>5</v>
      </c>
      <c r="E22" s="8">
        <v>3</v>
      </c>
      <c r="F22" s="8">
        <v>3</v>
      </c>
      <c r="G22" s="28">
        <v>2</v>
      </c>
      <c r="H22" s="11">
        <f t="shared" si="0"/>
        <v>16</v>
      </c>
      <c r="I22" s="109">
        <f t="shared" si="1"/>
        <v>32</v>
      </c>
      <c r="J22" s="127">
        <v>8500000</v>
      </c>
      <c r="K22" s="127">
        <f t="shared" si="2"/>
        <v>38636.36363636364</v>
      </c>
      <c r="L22" s="128">
        <f t="shared" si="4"/>
        <v>1236363.6363636365</v>
      </c>
    </row>
    <row r="23" spans="1:12" ht="28.8" x14ac:dyDescent="0.3">
      <c r="A23" s="184"/>
      <c r="B23" s="78" t="s">
        <v>23</v>
      </c>
      <c r="C23" s="94">
        <v>5</v>
      </c>
      <c r="D23" s="28">
        <v>5</v>
      </c>
      <c r="E23" s="8">
        <v>5</v>
      </c>
      <c r="F23" s="8">
        <v>5</v>
      </c>
      <c r="G23" s="28">
        <v>3</v>
      </c>
      <c r="H23" s="11">
        <f t="shared" si="0"/>
        <v>23</v>
      </c>
      <c r="I23" s="109">
        <f t="shared" si="1"/>
        <v>46</v>
      </c>
      <c r="J23" s="127">
        <v>8500000</v>
      </c>
      <c r="K23" s="127">
        <f t="shared" si="2"/>
        <v>38636.36363636364</v>
      </c>
      <c r="L23" s="128">
        <f t="shared" si="4"/>
        <v>1777272.7272727275</v>
      </c>
    </row>
    <row r="24" spans="1:12" ht="28.8" x14ac:dyDescent="0.3">
      <c r="A24" s="184"/>
      <c r="B24" s="78" t="s">
        <v>24</v>
      </c>
      <c r="C24" s="94">
        <v>5</v>
      </c>
      <c r="D24" s="28">
        <v>5</v>
      </c>
      <c r="E24" s="8">
        <v>5</v>
      </c>
      <c r="F24" s="8">
        <v>5</v>
      </c>
      <c r="G24" s="28">
        <v>3</v>
      </c>
      <c r="H24" s="11">
        <f t="shared" si="0"/>
        <v>23</v>
      </c>
      <c r="I24" s="109">
        <f t="shared" si="1"/>
        <v>46</v>
      </c>
      <c r="J24" s="127">
        <v>8500000</v>
      </c>
      <c r="K24" s="127">
        <f t="shared" si="2"/>
        <v>38636.36363636364</v>
      </c>
      <c r="L24" s="128">
        <f t="shared" si="4"/>
        <v>1777272.7272727275</v>
      </c>
    </row>
    <row r="25" spans="1:12" ht="28.8" x14ac:dyDescent="0.3">
      <c r="A25" s="184"/>
      <c r="B25" s="78" t="s">
        <v>25</v>
      </c>
      <c r="C25" s="94">
        <v>3</v>
      </c>
      <c r="D25" s="28">
        <v>3</v>
      </c>
      <c r="E25" s="8">
        <v>3</v>
      </c>
      <c r="F25" s="8">
        <v>3</v>
      </c>
      <c r="G25" s="28">
        <v>2</v>
      </c>
      <c r="H25" s="11">
        <f t="shared" si="0"/>
        <v>14</v>
      </c>
      <c r="I25" s="109">
        <f t="shared" si="1"/>
        <v>28</v>
      </c>
      <c r="J25" s="127">
        <v>8500000</v>
      </c>
      <c r="K25" s="127">
        <f t="shared" si="2"/>
        <v>38636.36363636364</v>
      </c>
      <c r="L25" s="128">
        <f t="shared" ref="L25:L58" si="5">PRODUCT(I25, K25)</f>
        <v>1081818.1818181819</v>
      </c>
    </row>
    <row r="26" spans="1:12" ht="28.8" x14ac:dyDescent="0.3">
      <c r="A26" s="184"/>
      <c r="B26" s="78" t="s">
        <v>26</v>
      </c>
      <c r="C26" s="94">
        <v>5</v>
      </c>
      <c r="D26" s="8" t="s">
        <v>13</v>
      </c>
      <c r="E26" s="8" t="s">
        <v>13</v>
      </c>
      <c r="F26" s="28">
        <v>8</v>
      </c>
      <c r="G26" s="28">
        <v>3</v>
      </c>
      <c r="H26" s="11">
        <f t="shared" si="0"/>
        <v>16</v>
      </c>
      <c r="I26" s="109">
        <f t="shared" si="1"/>
        <v>32</v>
      </c>
      <c r="J26" s="127">
        <v>3500000</v>
      </c>
      <c r="K26" s="127">
        <f t="shared" si="2"/>
        <v>15909.09090909091</v>
      </c>
      <c r="L26" s="128">
        <f t="shared" si="5"/>
        <v>509090.90909090912</v>
      </c>
    </row>
    <row r="27" spans="1:12" ht="28.8" x14ac:dyDescent="0.3">
      <c r="A27" s="184"/>
      <c r="B27" s="78" t="s">
        <v>27</v>
      </c>
      <c r="C27" s="94">
        <v>5</v>
      </c>
      <c r="D27" s="8" t="s">
        <v>13</v>
      </c>
      <c r="E27" s="8" t="s">
        <v>13</v>
      </c>
      <c r="F27" s="28">
        <v>8</v>
      </c>
      <c r="G27" s="28">
        <v>3</v>
      </c>
      <c r="H27" s="11">
        <f t="shared" si="0"/>
        <v>16</v>
      </c>
      <c r="I27" s="109">
        <f t="shared" si="1"/>
        <v>32</v>
      </c>
      <c r="J27" s="127">
        <v>3500000</v>
      </c>
      <c r="K27" s="127">
        <f t="shared" si="2"/>
        <v>15909.09090909091</v>
      </c>
      <c r="L27" s="128">
        <f t="shared" si="5"/>
        <v>509090.90909090912</v>
      </c>
    </row>
    <row r="28" spans="1:12" ht="28.8" x14ac:dyDescent="0.3">
      <c r="A28" s="184"/>
      <c r="B28" s="78" t="s">
        <v>28</v>
      </c>
      <c r="C28" s="94">
        <v>3</v>
      </c>
      <c r="D28" s="8" t="s">
        <v>13</v>
      </c>
      <c r="E28" s="8" t="s">
        <v>13</v>
      </c>
      <c r="F28" s="28">
        <v>5</v>
      </c>
      <c r="G28" s="28">
        <v>2</v>
      </c>
      <c r="H28" s="11">
        <f t="shared" si="0"/>
        <v>10</v>
      </c>
      <c r="I28" s="109">
        <f t="shared" si="1"/>
        <v>20</v>
      </c>
      <c r="J28" s="127">
        <v>3500000</v>
      </c>
      <c r="K28" s="127">
        <f t="shared" si="2"/>
        <v>15909.09090909091</v>
      </c>
      <c r="L28" s="128">
        <f t="shared" si="5"/>
        <v>318181.81818181818</v>
      </c>
    </row>
    <row r="29" spans="1:12" ht="28.8" x14ac:dyDescent="0.3">
      <c r="A29" s="184"/>
      <c r="B29" s="78" t="s">
        <v>29</v>
      </c>
      <c r="C29" s="94">
        <v>3</v>
      </c>
      <c r="D29" s="8" t="s">
        <v>13</v>
      </c>
      <c r="E29" s="8" t="s">
        <v>13</v>
      </c>
      <c r="F29" s="28">
        <v>5</v>
      </c>
      <c r="G29" s="28">
        <v>2</v>
      </c>
      <c r="H29" s="11">
        <f t="shared" si="0"/>
        <v>10</v>
      </c>
      <c r="I29" s="109">
        <f t="shared" si="1"/>
        <v>20</v>
      </c>
      <c r="J29" s="127">
        <v>3500000</v>
      </c>
      <c r="K29" s="127">
        <f t="shared" si="2"/>
        <v>15909.09090909091</v>
      </c>
      <c r="L29" s="128">
        <f t="shared" si="5"/>
        <v>318181.81818181818</v>
      </c>
    </row>
    <row r="30" spans="1:12" ht="28.8" x14ac:dyDescent="0.3">
      <c r="A30" s="184"/>
      <c r="B30" s="78" t="s">
        <v>60</v>
      </c>
      <c r="C30" s="94">
        <v>3</v>
      </c>
      <c r="D30" s="8" t="s">
        <v>13</v>
      </c>
      <c r="E30" s="8" t="s">
        <v>13</v>
      </c>
      <c r="F30" s="28">
        <v>5</v>
      </c>
      <c r="G30" s="28">
        <v>2</v>
      </c>
      <c r="H30" s="11">
        <f t="shared" si="0"/>
        <v>10</v>
      </c>
      <c r="I30" s="109">
        <f t="shared" si="1"/>
        <v>20</v>
      </c>
      <c r="J30" s="127">
        <v>3500000</v>
      </c>
      <c r="K30" s="127">
        <f t="shared" si="2"/>
        <v>15909.09090909091</v>
      </c>
      <c r="L30" s="128">
        <f t="shared" si="5"/>
        <v>318181.81818181818</v>
      </c>
    </row>
    <row r="31" spans="1:12" ht="28.8" x14ac:dyDescent="0.3">
      <c r="A31" s="184"/>
      <c r="B31" s="78" t="s">
        <v>30</v>
      </c>
      <c r="C31" s="94">
        <v>3</v>
      </c>
      <c r="D31" s="8" t="s">
        <v>13</v>
      </c>
      <c r="E31" s="8" t="s">
        <v>13</v>
      </c>
      <c r="F31" s="28">
        <v>5</v>
      </c>
      <c r="G31" s="28">
        <v>2</v>
      </c>
      <c r="H31" s="11">
        <f t="shared" si="0"/>
        <v>10</v>
      </c>
      <c r="I31" s="109">
        <f t="shared" si="1"/>
        <v>20</v>
      </c>
      <c r="J31" s="127">
        <v>3500000</v>
      </c>
      <c r="K31" s="127">
        <f t="shared" si="2"/>
        <v>15909.09090909091</v>
      </c>
      <c r="L31" s="128">
        <f t="shared" si="5"/>
        <v>318181.81818181818</v>
      </c>
    </row>
    <row r="32" spans="1:12" ht="28.8" x14ac:dyDescent="0.3">
      <c r="A32" s="184"/>
      <c r="B32" s="78" t="s">
        <v>31</v>
      </c>
      <c r="C32" s="94">
        <v>5</v>
      </c>
      <c r="D32" s="8" t="s">
        <v>13</v>
      </c>
      <c r="E32" s="8" t="s">
        <v>13</v>
      </c>
      <c r="F32" s="28">
        <v>8</v>
      </c>
      <c r="G32" s="28">
        <v>3</v>
      </c>
      <c r="H32" s="11">
        <f t="shared" si="0"/>
        <v>16</v>
      </c>
      <c r="I32" s="109">
        <f t="shared" si="1"/>
        <v>32</v>
      </c>
      <c r="J32" s="127">
        <v>3500000</v>
      </c>
      <c r="K32" s="127">
        <f t="shared" si="2"/>
        <v>15909.09090909091</v>
      </c>
      <c r="L32" s="128">
        <f t="shared" si="5"/>
        <v>509090.90909090912</v>
      </c>
    </row>
    <row r="33" spans="1:12" ht="28.8" x14ac:dyDescent="0.3">
      <c r="A33" s="184"/>
      <c r="B33" s="78" t="s">
        <v>32</v>
      </c>
      <c r="C33" s="94">
        <v>5</v>
      </c>
      <c r="D33" s="8" t="s">
        <v>13</v>
      </c>
      <c r="E33" s="8" t="s">
        <v>13</v>
      </c>
      <c r="F33" s="28">
        <v>8</v>
      </c>
      <c r="G33" s="28">
        <v>3</v>
      </c>
      <c r="H33" s="11">
        <f t="shared" si="0"/>
        <v>16</v>
      </c>
      <c r="I33" s="109">
        <f t="shared" si="1"/>
        <v>32</v>
      </c>
      <c r="J33" s="127">
        <v>3500000</v>
      </c>
      <c r="K33" s="127">
        <f t="shared" si="2"/>
        <v>15909.09090909091</v>
      </c>
      <c r="L33" s="128">
        <f t="shared" si="5"/>
        <v>509090.90909090912</v>
      </c>
    </row>
    <row r="34" spans="1:12" ht="29.4" thickBot="1" x14ac:dyDescent="0.35">
      <c r="A34" s="185"/>
      <c r="B34" s="79" t="s">
        <v>33</v>
      </c>
      <c r="C34" s="95">
        <v>5</v>
      </c>
      <c r="D34" s="12" t="s">
        <v>13</v>
      </c>
      <c r="E34" s="12" t="s">
        <v>13</v>
      </c>
      <c r="F34" s="29">
        <v>8</v>
      </c>
      <c r="G34" s="29">
        <v>3</v>
      </c>
      <c r="H34" s="13">
        <f t="shared" si="0"/>
        <v>16</v>
      </c>
      <c r="I34" s="110">
        <f t="shared" si="1"/>
        <v>32</v>
      </c>
      <c r="J34" s="129">
        <v>3500000</v>
      </c>
      <c r="K34" s="129">
        <f t="shared" si="2"/>
        <v>15909.09090909091</v>
      </c>
      <c r="L34" s="130">
        <f t="shared" si="5"/>
        <v>509090.90909090912</v>
      </c>
    </row>
    <row r="35" spans="1:12" ht="34.5" customHeight="1" x14ac:dyDescent="0.3">
      <c r="A35" s="177" t="s">
        <v>34</v>
      </c>
      <c r="B35" s="80" t="s">
        <v>35</v>
      </c>
      <c r="C35" s="96">
        <v>5</v>
      </c>
      <c r="D35" s="30">
        <v>5</v>
      </c>
      <c r="E35" s="15">
        <v>5</v>
      </c>
      <c r="F35" s="15">
        <v>5</v>
      </c>
      <c r="G35" s="30">
        <v>3</v>
      </c>
      <c r="H35" s="16">
        <f t="shared" si="0"/>
        <v>23</v>
      </c>
      <c r="I35" s="111">
        <f t="shared" si="1"/>
        <v>46</v>
      </c>
      <c r="J35" s="131">
        <v>8500000</v>
      </c>
      <c r="K35" s="131">
        <f t="shared" si="2"/>
        <v>38636.36363636364</v>
      </c>
      <c r="L35" s="132">
        <f t="shared" si="5"/>
        <v>1777272.7272727275</v>
      </c>
    </row>
    <row r="36" spans="1:12" ht="34.5" customHeight="1" x14ac:dyDescent="0.3">
      <c r="A36" s="178"/>
      <c r="B36" s="81" t="s">
        <v>36</v>
      </c>
      <c r="C36" s="97">
        <v>5</v>
      </c>
      <c r="D36" s="31">
        <v>5</v>
      </c>
      <c r="E36" s="14">
        <v>5</v>
      </c>
      <c r="F36" s="14">
        <v>5</v>
      </c>
      <c r="G36" s="31">
        <v>3</v>
      </c>
      <c r="H36" s="17">
        <f t="shared" si="0"/>
        <v>23</v>
      </c>
      <c r="I36" s="112">
        <f t="shared" si="1"/>
        <v>46</v>
      </c>
      <c r="J36" s="133">
        <v>8500000</v>
      </c>
      <c r="K36" s="133">
        <f t="shared" si="2"/>
        <v>38636.36363636364</v>
      </c>
      <c r="L36" s="134">
        <f t="shared" si="5"/>
        <v>1777272.7272727275</v>
      </c>
    </row>
    <row r="37" spans="1:12" ht="34.5" customHeight="1" x14ac:dyDescent="0.3">
      <c r="A37" s="178"/>
      <c r="B37" s="81" t="s">
        <v>37</v>
      </c>
      <c r="C37" s="97">
        <v>3</v>
      </c>
      <c r="D37" s="31">
        <v>3</v>
      </c>
      <c r="E37" s="14">
        <v>5</v>
      </c>
      <c r="F37" s="14">
        <v>5</v>
      </c>
      <c r="G37" s="31">
        <v>2</v>
      </c>
      <c r="H37" s="17">
        <f t="shared" si="0"/>
        <v>18</v>
      </c>
      <c r="I37" s="112">
        <f t="shared" si="1"/>
        <v>36</v>
      </c>
      <c r="J37" s="133">
        <v>8500000</v>
      </c>
      <c r="K37" s="133">
        <f t="shared" si="2"/>
        <v>38636.36363636364</v>
      </c>
      <c r="L37" s="134">
        <f t="shared" si="5"/>
        <v>1390909.0909090911</v>
      </c>
    </row>
    <row r="38" spans="1:12" ht="34.5" customHeight="1" x14ac:dyDescent="0.3">
      <c r="A38" s="178"/>
      <c r="B38" s="81" t="s">
        <v>38</v>
      </c>
      <c r="C38" s="97">
        <v>5</v>
      </c>
      <c r="D38" s="31">
        <v>8</v>
      </c>
      <c r="E38" s="14">
        <v>8</v>
      </c>
      <c r="F38" s="14">
        <v>8</v>
      </c>
      <c r="G38" s="31">
        <v>3</v>
      </c>
      <c r="H38" s="17">
        <f t="shared" si="0"/>
        <v>32</v>
      </c>
      <c r="I38" s="112">
        <f t="shared" si="1"/>
        <v>64</v>
      </c>
      <c r="J38" s="133">
        <v>8500000</v>
      </c>
      <c r="K38" s="133">
        <f t="shared" si="2"/>
        <v>38636.36363636364</v>
      </c>
      <c r="L38" s="134">
        <f t="shared" si="5"/>
        <v>2472727.2727272729</v>
      </c>
    </row>
    <row r="39" spans="1:12" ht="80.25" customHeight="1" x14ac:dyDescent="0.3">
      <c r="A39" s="178"/>
      <c r="B39" s="81" t="s">
        <v>39</v>
      </c>
      <c r="C39" s="97">
        <v>8</v>
      </c>
      <c r="D39" s="31">
        <v>8</v>
      </c>
      <c r="E39" s="14">
        <v>13</v>
      </c>
      <c r="F39" s="14">
        <v>13</v>
      </c>
      <c r="G39" s="31">
        <v>5</v>
      </c>
      <c r="H39" s="17">
        <f t="shared" si="0"/>
        <v>47</v>
      </c>
      <c r="I39" s="112">
        <f t="shared" si="1"/>
        <v>94</v>
      </c>
      <c r="J39" s="133">
        <v>8500000</v>
      </c>
      <c r="K39" s="133">
        <f t="shared" si="2"/>
        <v>38636.36363636364</v>
      </c>
      <c r="L39" s="134">
        <f t="shared" si="5"/>
        <v>3631818.1818181821</v>
      </c>
    </row>
    <row r="40" spans="1:12" ht="34.5" customHeight="1" x14ac:dyDescent="0.3">
      <c r="A40" s="178"/>
      <c r="B40" s="81" t="s">
        <v>40</v>
      </c>
      <c r="C40" s="97">
        <v>5</v>
      </c>
      <c r="D40" s="31">
        <v>5</v>
      </c>
      <c r="E40" s="14">
        <v>8</v>
      </c>
      <c r="F40" s="14">
        <v>8</v>
      </c>
      <c r="G40" s="31">
        <v>3</v>
      </c>
      <c r="H40" s="17">
        <f t="shared" si="0"/>
        <v>29</v>
      </c>
      <c r="I40" s="112">
        <f t="shared" si="1"/>
        <v>58</v>
      </c>
      <c r="J40" s="133">
        <v>8500000</v>
      </c>
      <c r="K40" s="133">
        <f t="shared" si="2"/>
        <v>38636.36363636364</v>
      </c>
      <c r="L40" s="134">
        <f t="shared" si="5"/>
        <v>2240909.0909090913</v>
      </c>
    </row>
    <row r="41" spans="1:12" ht="34.5" customHeight="1" x14ac:dyDescent="0.3">
      <c r="A41" s="178"/>
      <c r="B41" s="81" t="s">
        <v>41</v>
      </c>
      <c r="C41" s="97">
        <v>3</v>
      </c>
      <c r="D41" s="31">
        <v>3</v>
      </c>
      <c r="E41" s="14">
        <v>5</v>
      </c>
      <c r="F41" s="14">
        <v>3</v>
      </c>
      <c r="G41" s="31">
        <v>2</v>
      </c>
      <c r="H41" s="17">
        <f t="shared" si="0"/>
        <v>16</v>
      </c>
      <c r="I41" s="112">
        <f t="shared" si="1"/>
        <v>32</v>
      </c>
      <c r="J41" s="133">
        <v>8500000</v>
      </c>
      <c r="K41" s="133">
        <f t="shared" si="2"/>
        <v>38636.36363636364</v>
      </c>
      <c r="L41" s="134">
        <f t="shared" si="5"/>
        <v>1236363.6363636365</v>
      </c>
    </row>
    <row r="42" spans="1:12" ht="34.5" customHeight="1" x14ac:dyDescent="0.3">
      <c r="A42" s="178"/>
      <c r="B42" s="81" t="s">
        <v>42</v>
      </c>
      <c r="C42" s="97">
        <v>5</v>
      </c>
      <c r="D42" s="31">
        <v>3</v>
      </c>
      <c r="E42" s="14">
        <v>5</v>
      </c>
      <c r="F42" s="14">
        <v>5</v>
      </c>
      <c r="G42" s="31">
        <v>3</v>
      </c>
      <c r="H42" s="17">
        <f t="shared" si="0"/>
        <v>21</v>
      </c>
      <c r="I42" s="112">
        <f t="shared" si="1"/>
        <v>42</v>
      </c>
      <c r="J42" s="133">
        <v>8500000</v>
      </c>
      <c r="K42" s="133">
        <f t="shared" si="2"/>
        <v>38636.36363636364</v>
      </c>
      <c r="L42" s="134">
        <f t="shared" si="5"/>
        <v>1622727.2727272729</v>
      </c>
    </row>
    <row r="43" spans="1:12" ht="34.5" customHeight="1" x14ac:dyDescent="0.3">
      <c r="A43" s="178"/>
      <c r="B43" s="81" t="s">
        <v>43</v>
      </c>
      <c r="C43" s="97">
        <v>5</v>
      </c>
      <c r="D43" s="31">
        <v>2</v>
      </c>
      <c r="E43" s="14">
        <v>5</v>
      </c>
      <c r="F43" s="14">
        <v>8</v>
      </c>
      <c r="G43" s="31">
        <v>3</v>
      </c>
      <c r="H43" s="17">
        <f t="shared" si="0"/>
        <v>23</v>
      </c>
      <c r="I43" s="112">
        <f t="shared" si="1"/>
        <v>46</v>
      </c>
      <c r="J43" s="133">
        <v>8500000</v>
      </c>
      <c r="K43" s="133">
        <f t="shared" si="2"/>
        <v>38636.36363636364</v>
      </c>
      <c r="L43" s="134">
        <f t="shared" si="5"/>
        <v>1777272.7272727275</v>
      </c>
    </row>
    <row r="44" spans="1:12" ht="34.5" customHeight="1" x14ac:dyDescent="0.3">
      <c r="A44" s="178"/>
      <c r="B44" s="81" t="s">
        <v>44</v>
      </c>
      <c r="C44" s="97">
        <v>5</v>
      </c>
      <c r="D44" s="31">
        <v>5</v>
      </c>
      <c r="E44" s="14">
        <v>5</v>
      </c>
      <c r="F44" s="14">
        <v>8</v>
      </c>
      <c r="G44" s="31">
        <v>3</v>
      </c>
      <c r="H44" s="17">
        <f t="shared" si="0"/>
        <v>26</v>
      </c>
      <c r="I44" s="112">
        <f t="shared" si="1"/>
        <v>52</v>
      </c>
      <c r="J44" s="133">
        <v>8500000</v>
      </c>
      <c r="K44" s="133">
        <f t="shared" si="2"/>
        <v>38636.36363636364</v>
      </c>
      <c r="L44" s="134">
        <f t="shared" si="5"/>
        <v>2009090.9090909092</v>
      </c>
    </row>
    <row r="45" spans="1:12" ht="34.5" customHeight="1" x14ac:dyDescent="0.3">
      <c r="A45" s="178"/>
      <c r="B45" s="81" t="s">
        <v>45</v>
      </c>
      <c r="C45" s="97">
        <v>3</v>
      </c>
      <c r="D45" s="14" t="s">
        <v>13</v>
      </c>
      <c r="E45" s="14" t="s">
        <v>13</v>
      </c>
      <c r="F45" s="31">
        <v>5</v>
      </c>
      <c r="G45" s="31">
        <v>2</v>
      </c>
      <c r="H45" s="17">
        <f t="shared" si="0"/>
        <v>10</v>
      </c>
      <c r="I45" s="112">
        <f t="shared" si="1"/>
        <v>20</v>
      </c>
      <c r="J45" s="133">
        <v>3500000</v>
      </c>
      <c r="K45" s="133">
        <f t="shared" si="2"/>
        <v>15909.09090909091</v>
      </c>
      <c r="L45" s="134">
        <f t="shared" si="5"/>
        <v>318181.81818181818</v>
      </c>
    </row>
    <row r="46" spans="1:12" ht="34.5" customHeight="1" x14ac:dyDescent="0.3">
      <c r="A46" s="178"/>
      <c r="B46" s="81" t="s">
        <v>46</v>
      </c>
      <c r="C46" s="97">
        <v>5</v>
      </c>
      <c r="D46" s="14" t="s">
        <v>13</v>
      </c>
      <c r="E46" s="14" t="s">
        <v>13</v>
      </c>
      <c r="F46" s="31">
        <v>8</v>
      </c>
      <c r="G46" s="31">
        <v>3</v>
      </c>
      <c r="H46" s="17">
        <f t="shared" si="0"/>
        <v>16</v>
      </c>
      <c r="I46" s="112">
        <f t="shared" si="1"/>
        <v>32</v>
      </c>
      <c r="J46" s="133">
        <v>3500000</v>
      </c>
      <c r="K46" s="133">
        <f t="shared" si="2"/>
        <v>15909.09090909091</v>
      </c>
      <c r="L46" s="134">
        <f t="shared" si="5"/>
        <v>509090.90909090912</v>
      </c>
    </row>
    <row r="47" spans="1:12" ht="34.5" customHeight="1" x14ac:dyDescent="0.3">
      <c r="A47" s="178"/>
      <c r="B47" s="81" t="s">
        <v>47</v>
      </c>
      <c r="C47" s="97">
        <v>5</v>
      </c>
      <c r="D47" s="14" t="s">
        <v>13</v>
      </c>
      <c r="E47" s="14" t="s">
        <v>13</v>
      </c>
      <c r="F47" s="31">
        <v>8</v>
      </c>
      <c r="G47" s="31">
        <v>3</v>
      </c>
      <c r="H47" s="17">
        <f t="shared" si="0"/>
        <v>16</v>
      </c>
      <c r="I47" s="112">
        <f t="shared" si="1"/>
        <v>32</v>
      </c>
      <c r="J47" s="133">
        <v>3500000</v>
      </c>
      <c r="K47" s="133">
        <f t="shared" si="2"/>
        <v>15909.09090909091</v>
      </c>
      <c r="L47" s="134">
        <f t="shared" si="5"/>
        <v>509090.90909090912</v>
      </c>
    </row>
    <row r="48" spans="1:12" ht="34.5" customHeight="1" x14ac:dyDescent="0.3">
      <c r="A48" s="178"/>
      <c r="B48" s="81" t="s">
        <v>48</v>
      </c>
      <c r="C48" s="97">
        <v>5</v>
      </c>
      <c r="D48" s="14" t="s">
        <v>13</v>
      </c>
      <c r="E48" s="14" t="s">
        <v>13</v>
      </c>
      <c r="F48" s="31">
        <v>8</v>
      </c>
      <c r="G48" s="31">
        <v>3</v>
      </c>
      <c r="H48" s="17">
        <f t="shared" si="0"/>
        <v>16</v>
      </c>
      <c r="I48" s="112">
        <f t="shared" si="1"/>
        <v>32</v>
      </c>
      <c r="J48" s="133">
        <v>3500000</v>
      </c>
      <c r="K48" s="133">
        <f t="shared" si="2"/>
        <v>15909.09090909091</v>
      </c>
      <c r="L48" s="134">
        <f t="shared" si="5"/>
        <v>509090.90909090912</v>
      </c>
    </row>
    <row r="49" spans="1:12" ht="34.5" customHeight="1" x14ac:dyDescent="0.3">
      <c r="A49" s="178"/>
      <c r="B49" s="81" t="s">
        <v>49</v>
      </c>
      <c r="C49" s="97">
        <v>5</v>
      </c>
      <c r="D49" s="14" t="s">
        <v>13</v>
      </c>
      <c r="E49" s="14" t="s">
        <v>13</v>
      </c>
      <c r="F49" s="31">
        <v>8</v>
      </c>
      <c r="G49" s="31">
        <v>3</v>
      </c>
      <c r="H49" s="17">
        <f t="shared" si="0"/>
        <v>16</v>
      </c>
      <c r="I49" s="112">
        <f t="shared" si="1"/>
        <v>32</v>
      </c>
      <c r="J49" s="133">
        <v>3500000</v>
      </c>
      <c r="K49" s="133">
        <f t="shared" si="2"/>
        <v>15909.09090909091</v>
      </c>
      <c r="L49" s="134">
        <f t="shared" si="5"/>
        <v>509090.90909090912</v>
      </c>
    </row>
    <row r="50" spans="1:12" ht="29.4" thickBot="1" x14ac:dyDescent="0.35">
      <c r="A50" s="179"/>
      <c r="B50" s="82" t="s">
        <v>50</v>
      </c>
      <c r="C50" s="98">
        <v>3</v>
      </c>
      <c r="D50" s="18" t="s">
        <v>13</v>
      </c>
      <c r="E50" s="18" t="s">
        <v>13</v>
      </c>
      <c r="F50" s="32">
        <v>5</v>
      </c>
      <c r="G50" s="32">
        <v>2</v>
      </c>
      <c r="H50" s="19">
        <f t="shared" si="0"/>
        <v>10</v>
      </c>
      <c r="I50" s="113">
        <f t="shared" si="1"/>
        <v>20</v>
      </c>
      <c r="J50" s="135">
        <v>3500000</v>
      </c>
      <c r="K50" s="135">
        <f t="shared" si="2"/>
        <v>15909.09090909091</v>
      </c>
      <c r="L50" s="136">
        <f t="shared" si="5"/>
        <v>318181.81818181818</v>
      </c>
    </row>
    <row r="51" spans="1:12" ht="28.8" x14ac:dyDescent="0.3">
      <c r="A51" s="169" t="s">
        <v>51</v>
      </c>
      <c r="B51" s="83" t="s">
        <v>52</v>
      </c>
      <c r="C51" s="99">
        <v>5</v>
      </c>
      <c r="D51" s="33">
        <v>5</v>
      </c>
      <c r="E51" s="21">
        <v>8</v>
      </c>
      <c r="F51" s="21">
        <v>8</v>
      </c>
      <c r="G51" s="33">
        <v>3</v>
      </c>
      <c r="H51" s="22">
        <f t="shared" si="0"/>
        <v>29</v>
      </c>
      <c r="I51" s="114">
        <f t="shared" si="1"/>
        <v>58</v>
      </c>
      <c r="J51" s="137">
        <v>8500000</v>
      </c>
      <c r="K51" s="137">
        <f t="shared" si="2"/>
        <v>38636.36363636364</v>
      </c>
      <c r="L51" s="138">
        <f t="shared" si="5"/>
        <v>2240909.0909090913</v>
      </c>
    </row>
    <row r="52" spans="1:12" ht="28.8" x14ac:dyDescent="0.3">
      <c r="A52" s="170"/>
      <c r="B52" s="84" t="s">
        <v>53</v>
      </c>
      <c r="C52" s="100">
        <v>3</v>
      </c>
      <c r="D52" s="34">
        <v>5</v>
      </c>
      <c r="E52" s="20">
        <v>5</v>
      </c>
      <c r="F52" s="20">
        <v>5</v>
      </c>
      <c r="G52" s="34">
        <v>2</v>
      </c>
      <c r="H52" s="23">
        <f t="shared" si="0"/>
        <v>20</v>
      </c>
      <c r="I52" s="115">
        <f t="shared" si="1"/>
        <v>40</v>
      </c>
      <c r="J52" s="139">
        <v>8500000</v>
      </c>
      <c r="K52" s="139">
        <f t="shared" si="2"/>
        <v>38636.36363636364</v>
      </c>
      <c r="L52" s="140">
        <f t="shared" si="5"/>
        <v>1545454.5454545456</v>
      </c>
    </row>
    <row r="53" spans="1:12" ht="28.8" x14ac:dyDescent="0.3">
      <c r="A53" s="170"/>
      <c r="B53" s="84" t="s">
        <v>54</v>
      </c>
      <c r="C53" s="100">
        <v>3</v>
      </c>
      <c r="D53" s="34">
        <v>5</v>
      </c>
      <c r="E53" s="20">
        <v>13</v>
      </c>
      <c r="F53" s="20">
        <v>5</v>
      </c>
      <c r="G53" s="34">
        <v>2</v>
      </c>
      <c r="H53" s="23">
        <f t="shared" si="0"/>
        <v>28</v>
      </c>
      <c r="I53" s="115">
        <f t="shared" si="1"/>
        <v>56</v>
      </c>
      <c r="J53" s="139">
        <v>8500000</v>
      </c>
      <c r="K53" s="139">
        <f t="shared" si="2"/>
        <v>38636.36363636364</v>
      </c>
      <c r="L53" s="140">
        <f t="shared" si="5"/>
        <v>2163636.3636363638</v>
      </c>
    </row>
    <row r="54" spans="1:12" ht="28.8" x14ac:dyDescent="0.3">
      <c r="A54" s="170"/>
      <c r="B54" s="84" t="s">
        <v>55</v>
      </c>
      <c r="C54" s="100">
        <v>5</v>
      </c>
      <c r="D54" s="20" t="s">
        <v>13</v>
      </c>
      <c r="E54" s="20" t="s">
        <v>13</v>
      </c>
      <c r="F54" s="34">
        <v>8</v>
      </c>
      <c r="G54" s="34">
        <v>3</v>
      </c>
      <c r="H54" s="23">
        <f t="shared" si="0"/>
        <v>16</v>
      </c>
      <c r="I54" s="115">
        <f t="shared" si="1"/>
        <v>32</v>
      </c>
      <c r="J54" s="139">
        <v>3500000</v>
      </c>
      <c r="K54" s="139">
        <f t="shared" si="2"/>
        <v>15909.09090909091</v>
      </c>
      <c r="L54" s="140">
        <f t="shared" si="5"/>
        <v>509090.90909090912</v>
      </c>
    </row>
    <row r="55" spans="1:12" ht="29.4" thickBot="1" x14ac:dyDescent="0.35">
      <c r="A55" s="171"/>
      <c r="B55" s="85" t="s">
        <v>61</v>
      </c>
      <c r="C55" s="101">
        <v>5</v>
      </c>
      <c r="D55" s="61" t="s">
        <v>13</v>
      </c>
      <c r="E55" s="61" t="s">
        <v>13</v>
      </c>
      <c r="F55" s="60">
        <v>8</v>
      </c>
      <c r="G55" s="60">
        <v>3</v>
      </c>
      <c r="H55" s="62">
        <f t="shared" si="0"/>
        <v>16</v>
      </c>
      <c r="I55" s="116">
        <f t="shared" si="1"/>
        <v>32</v>
      </c>
      <c r="J55" s="141">
        <v>3500000</v>
      </c>
      <c r="K55" s="141">
        <f t="shared" si="2"/>
        <v>15909.09090909091</v>
      </c>
      <c r="L55" s="142">
        <f t="shared" si="5"/>
        <v>509090.90909090912</v>
      </c>
    </row>
    <row r="56" spans="1:12" ht="28.8" x14ac:dyDescent="0.3">
      <c r="A56" s="172" t="s">
        <v>56</v>
      </c>
      <c r="B56" s="86" t="s">
        <v>57</v>
      </c>
      <c r="C56" s="102">
        <v>5</v>
      </c>
      <c r="D56" s="64" t="s">
        <v>13</v>
      </c>
      <c r="E56" s="64" t="s">
        <v>13</v>
      </c>
      <c r="F56" s="64">
        <v>8</v>
      </c>
      <c r="G56" s="64">
        <v>3</v>
      </c>
      <c r="H56" s="65">
        <f t="shared" si="0"/>
        <v>16</v>
      </c>
      <c r="I56" s="102">
        <f t="shared" si="1"/>
        <v>32</v>
      </c>
      <c r="J56" s="143">
        <v>3500000</v>
      </c>
      <c r="K56" s="143">
        <f t="shared" si="2"/>
        <v>15909.09090909091</v>
      </c>
      <c r="L56" s="144">
        <f t="shared" si="5"/>
        <v>509090.90909090912</v>
      </c>
    </row>
    <row r="57" spans="1:12" ht="28.8" x14ac:dyDescent="0.3">
      <c r="A57" s="173"/>
      <c r="B57" s="87" t="s">
        <v>58</v>
      </c>
      <c r="C57" s="103">
        <v>5</v>
      </c>
      <c r="D57" s="63" t="s">
        <v>13</v>
      </c>
      <c r="E57" s="63" t="s">
        <v>13</v>
      </c>
      <c r="F57" s="63">
        <v>8</v>
      </c>
      <c r="G57" s="63">
        <v>3</v>
      </c>
      <c r="H57" s="66">
        <f t="shared" si="0"/>
        <v>16</v>
      </c>
      <c r="I57" s="103">
        <f t="shared" si="1"/>
        <v>32</v>
      </c>
      <c r="J57" s="145">
        <v>3500000</v>
      </c>
      <c r="K57" s="145">
        <f t="shared" si="2"/>
        <v>15909.09090909091</v>
      </c>
      <c r="L57" s="146">
        <f t="shared" si="5"/>
        <v>509090.90909090912</v>
      </c>
    </row>
    <row r="58" spans="1:12" ht="29.4" thickBot="1" x14ac:dyDescent="0.35">
      <c r="A58" s="174"/>
      <c r="B58" s="88" t="s">
        <v>59</v>
      </c>
      <c r="C58" s="104">
        <v>5</v>
      </c>
      <c r="D58" s="67" t="s">
        <v>13</v>
      </c>
      <c r="E58" s="67" t="s">
        <v>13</v>
      </c>
      <c r="F58" s="67">
        <v>8</v>
      </c>
      <c r="G58" s="67">
        <v>3</v>
      </c>
      <c r="H58" s="68">
        <f t="shared" si="0"/>
        <v>16</v>
      </c>
      <c r="I58" s="104">
        <f t="shared" si="1"/>
        <v>32</v>
      </c>
      <c r="J58" s="147">
        <v>3500000</v>
      </c>
      <c r="K58" s="147">
        <f t="shared" si="2"/>
        <v>15909.09090909091</v>
      </c>
      <c r="L58" s="148">
        <f t="shared" si="5"/>
        <v>509090.90909090912</v>
      </c>
    </row>
    <row r="59" spans="1:12" thickBot="1" x14ac:dyDescent="0.35">
      <c r="A59" s="1"/>
      <c r="B59" s="1"/>
      <c r="C59" s="1"/>
      <c r="D59" s="35"/>
      <c r="E59" s="1"/>
      <c r="F59" s="1"/>
      <c r="I59" s="149" t="s">
        <v>105</v>
      </c>
      <c r="J59" s="150"/>
      <c r="K59" s="151"/>
      <c r="L59" s="118">
        <f>SUM(L8:L58)</f>
        <v>56095454.545454524</v>
      </c>
    </row>
    <row r="60" spans="1:12" ht="14.4" x14ac:dyDescent="0.3">
      <c r="A60" s="1"/>
      <c r="B60" s="1"/>
      <c r="C60" s="1"/>
      <c r="D60" s="35"/>
      <c r="E60" s="1"/>
      <c r="F60" s="1"/>
    </row>
    <row r="61" spans="1:12" ht="14.4" x14ac:dyDescent="0.3">
      <c r="A61" s="1"/>
      <c r="B61" s="1"/>
      <c r="C61" s="1"/>
      <c r="D61" s="35"/>
      <c r="E61" s="1"/>
      <c r="F61" s="1"/>
    </row>
    <row r="62" spans="1:12" ht="14.4" x14ac:dyDescent="0.3">
      <c r="A62" s="1"/>
      <c r="B62" s="1"/>
      <c r="C62" s="1"/>
      <c r="D62" s="35"/>
      <c r="E62" s="1"/>
      <c r="F62" s="1"/>
    </row>
    <row r="63" spans="1:12" ht="14.4" x14ac:dyDescent="0.3">
      <c r="A63" s="1"/>
      <c r="B63" s="1"/>
      <c r="C63" s="1"/>
      <c r="D63" s="35"/>
      <c r="E63" s="1"/>
      <c r="F63" s="1"/>
    </row>
    <row r="64" spans="1:12" ht="14.4" x14ac:dyDescent="0.3">
      <c r="A64" s="1"/>
      <c r="B64" s="1"/>
      <c r="C64" s="1"/>
      <c r="D64" s="35"/>
      <c r="E64" s="1"/>
      <c r="F64" s="1"/>
    </row>
    <row r="65" spans="1:6" ht="14.4" x14ac:dyDescent="0.3">
      <c r="A65" s="1"/>
      <c r="B65" s="1"/>
      <c r="C65" s="1"/>
      <c r="D65" s="35"/>
      <c r="E65" s="1"/>
      <c r="F65" s="1"/>
    </row>
    <row r="66" spans="1:6" ht="14.4" x14ac:dyDescent="0.3">
      <c r="A66" s="1"/>
      <c r="B66" s="1"/>
      <c r="C66" s="1"/>
      <c r="D66" s="35"/>
      <c r="E66" s="1"/>
      <c r="F66" s="1"/>
    </row>
    <row r="67" spans="1:6" ht="14.4" x14ac:dyDescent="0.3">
      <c r="A67" s="1"/>
      <c r="B67" s="1"/>
      <c r="C67" s="1"/>
      <c r="D67" s="35"/>
      <c r="E67" s="1"/>
      <c r="F67" s="1"/>
    </row>
    <row r="68" spans="1:6" ht="14.4" x14ac:dyDescent="0.3">
      <c r="A68" s="1"/>
      <c r="B68" s="1"/>
      <c r="C68" s="1"/>
      <c r="D68" s="35"/>
      <c r="E68" s="1"/>
      <c r="F68" s="1"/>
    </row>
    <row r="69" spans="1:6" ht="14.4" x14ac:dyDescent="0.3">
      <c r="A69" s="1"/>
      <c r="B69" s="1"/>
      <c r="C69" s="1"/>
      <c r="D69" s="35"/>
      <c r="E69" s="1"/>
      <c r="F69" s="1"/>
    </row>
    <row r="70" spans="1:6" ht="14.4" x14ac:dyDescent="0.3">
      <c r="A70" s="1"/>
      <c r="B70" s="1"/>
      <c r="C70" s="1"/>
      <c r="D70" s="35"/>
      <c r="E70" s="1"/>
      <c r="F70" s="1"/>
    </row>
    <row r="71" spans="1:6" ht="14.4" x14ac:dyDescent="0.3">
      <c r="A71" s="1"/>
      <c r="B71" s="1"/>
      <c r="C71" s="1"/>
      <c r="D71" s="35"/>
      <c r="E71" s="1"/>
      <c r="F71" s="1"/>
    </row>
    <row r="72" spans="1:6" ht="14.4" x14ac:dyDescent="0.3">
      <c r="A72" s="1"/>
      <c r="B72" s="1"/>
      <c r="C72" s="1"/>
      <c r="D72" s="35"/>
      <c r="E72" s="1"/>
      <c r="F72" s="1"/>
    </row>
    <row r="73" spans="1:6" ht="14.4" x14ac:dyDescent="0.3">
      <c r="A73" s="1"/>
      <c r="B73" s="1"/>
      <c r="C73" s="1"/>
      <c r="D73" s="35"/>
      <c r="E73" s="1"/>
      <c r="F73" s="1"/>
    </row>
    <row r="74" spans="1:6" ht="14.4" x14ac:dyDescent="0.3">
      <c r="A74" s="1"/>
      <c r="B74" s="1"/>
      <c r="C74" s="1"/>
      <c r="D74" s="35"/>
      <c r="E74" s="1"/>
      <c r="F74" s="1"/>
    </row>
    <row r="75" spans="1:6" ht="14.4" x14ac:dyDescent="0.3">
      <c r="A75" s="1"/>
      <c r="B75" s="1"/>
      <c r="C75" s="1"/>
      <c r="D75" s="35"/>
      <c r="E75" s="1"/>
      <c r="F75" s="1"/>
    </row>
    <row r="76" spans="1:6" ht="14.4" x14ac:dyDescent="0.3">
      <c r="A76" s="1"/>
      <c r="B76" s="1"/>
      <c r="C76" s="1"/>
      <c r="D76" s="35"/>
      <c r="E76" s="1"/>
      <c r="F76" s="1"/>
    </row>
    <row r="77" spans="1:6" ht="14.4" x14ac:dyDescent="0.3">
      <c r="A77" s="1"/>
      <c r="B77" s="1"/>
      <c r="C77" s="1"/>
      <c r="D77" s="35"/>
      <c r="E77" s="1"/>
      <c r="F77" s="1"/>
    </row>
    <row r="78" spans="1:6" ht="14.4" x14ac:dyDescent="0.3">
      <c r="A78" s="1"/>
      <c r="B78" s="1"/>
      <c r="C78" s="1"/>
      <c r="D78" s="35"/>
      <c r="E78" s="1"/>
      <c r="F78" s="1"/>
    </row>
    <row r="79" spans="1:6" ht="14.4" x14ac:dyDescent="0.3">
      <c r="A79" s="1"/>
      <c r="B79" s="1"/>
      <c r="C79" s="1"/>
      <c r="D79" s="35"/>
      <c r="E79" s="1"/>
      <c r="F79" s="1"/>
    </row>
    <row r="80" spans="1:6" ht="14.4" x14ac:dyDescent="0.3">
      <c r="A80" s="1"/>
      <c r="B80" s="1"/>
      <c r="C80" s="1"/>
      <c r="D80" s="35"/>
      <c r="E80" s="1"/>
      <c r="F80" s="1"/>
    </row>
    <row r="81" spans="1:6" ht="14.4" x14ac:dyDescent="0.3">
      <c r="A81" s="1"/>
      <c r="B81" s="1"/>
      <c r="C81" s="1"/>
      <c r="D81" s="35"/>
      <c r="E81" s="1"/>
      <c r="F81" s="1"/>
    </row>
    <row r="82" spans="1:6" ht="14.4" x14ac:dyDescent="0.3">
      <c r="A82" s="1"/>
      <c r="B82" s="1"/>
      <c r="C82" s="1"/>
      <c r="D82" s="35"/>
      <c r="E82" s="1"/>
      <c r="F82" s="1"/>
    </row>
    <row r="83" spans="1:6" ht="14.4" x14ac:dyDescent="0.3">
      <c r="A83" s="1"/>
      <c r="B83" s="1"/>
      <c r="C83" s="1"/>
      <c r="D83" s="35"/>
      <c r="E83" s="1"/>
      <c r="F83" s="1"/>
    </row>
    <row r="84" spans="1:6" ht="14.4" x14ac:dyDescent="0.3">
      <c r="A84" s="1"/>
      <c r="B84" s="1"/>
      <c r="C84" s="1"/>
      <c r="D84" s="35"/>
      <c r="E84" s="1"/>
      <c r="F84" s="1"/>
    </row>
    <row r="85" spans="1:6" ht="14.4" x14ac:dyDescent="0.3">
      <c r="A85" s="1"/>
      <c r="B85" s="1"/>
      <c r="C85" s="1"/>
      <c r="D85" s="35"/>
      <c r="E85" s="1"/>
      <c r="F85" s="1"/>
    </row>
    <row r="86" spans="1:6" ht="14.4" x14ac:dyDescent="0.3">
      <c r="A86" s="1"/>
      <c r="B86" s="1"/>
      <c r="C86" s="1"/>
      <c r="D86" s="35"/>
      <c r="E86" s="1"/>
      <c r="F86" s="1"/>
    </row>
    <row r="87" spans="1:6" ht="14.4" x14ac:dyDescent="0.3">
      <c r="A87" s="1"/>
      <c r="B87" s="1"/>
      <c r="C87" s="1"/>
      <c r="D87" s="35"/>
      <c r="E87" s="1"/>
      <c r="F87" s="1"/>
    </row>
    <row r="88" spans="1:6" ht="14.4" x14ac:dyDescent="0.3">
      <c r="A88" s="1"/>
      <c r="B88" s="1"/>
      <c r="C88" s="1"/>
      <c r="D88" s="35"/>
      <c r="E88" s="1"/>
      <c r="F88" s="1"/>
    </row>
    <row r="89" spans="1:6" ht="14.4" x14ac:dyDescent="0.3">
      <c r="A89" s="1"/>
      <c r="B89" s="1"/>
      <c r="C89" s="1"/>
      <c r="D89" s="35"/>
      <c r="E89" s="1"/>
      <c r="F89" s="1"/>
    </row>
    <row r="90" spans="1:6" ht="14.4" x14ac:dyDescent="0.3">
      <c r="A90" s="1"/>
      <c r="B90" s="1"/>
      <c r="C90" s="1"/>
      <c r="D90" s="35"/>
      <c r="E90" s="1"/>
      <c r="F90" s="1"/>
    </row>
    <row r="91" spans="1:6" ht="14.4" x14ac:dyDescent="0.3">
      <c r="A91" s="1"/>
      <c r="B91" s="1"/>
      <c r="C91" s="1"/>
      <c r="D91" s="35"/>
      <c r="E91" s="1"/>
      <c r="F91" s="1"/>
    </row>
    <row r="92" spans="1:6" ht="14.4" x14ac:dyDescent="0.3">
      <c r="A92" s="1"/>
      <c r="B92" s="1"/>
      <c r="C92" s="1"/>
      <c r="D92" s="35"/>
      <c r="E92" s="1"/>
      <c r="F92" s="1"/>
    </row>
    <row r="93" spans="1:6" ht="14.4" x14ac:dyDescent="0.3">
      <c r="A93" s="1"/>
      <c r="B93" s="1"/>
      <c r="C93" s="1"/>
      <c r="D93" s="35"/>
      <c r="E93" s="1"/>
      <c r="F93" s="1"/>
    </row>
    <row r="94" spans="1:6" ht="14.4" x14ac:dyDescent="0.3">
      <c r="A94" s="1"/>
      <c r="B94" s="1"/>
      <c r="C94" s="1"/>
      <c r="D94" s="35"/>
      <c r="E94" s="1"/>
      <c r="F94" s="1"/>
    </row>
    <row r="95" spans="1:6" ht="14.4" x14ac:dyDescent="0.3">
      <c r="A95" s="1"/>
      <c r="B95" s="1"/>
      <c r="C95" s="1"/>
      <c r="D95" s="35"/>
      <c r="E95" s="1"/>
      <c r="F95" s="1"/>
    </row>
    <row r="96" spans="1:6" ht="14.4" x14ac:dyDescent="0.3">
      <c r="A96" s="1"/>
      <c r="B96" s="1"/>
      <c r="C96" s="1"/>
      <c r="D96" s="35"/>
      <c r="E96" s="1"/>
      <c r="F96" s="1"/>
    </row>
    <row r="97" spans="1:6" ht="14.4" x14ac:dyDescent="0.3">
      <c r="A97" s="1"/>
      <c r="B97" s="1"/>
      <c r="C97" s="1"/>
      <c r="D97" s="35"/>
      <c r="E97" s="1"/>
      <c r="F97" s="1"/>
    </row>
    <row r="98" spans="1:6" ht="14.4" x14ac:dyDescent="0.3">
      <c r="A98" s="1"/>
      <c r="B98" s="1"/>
      <c r="C98" s="1"/>
      <c r="D98" s="35"/>
      <c r="E98" s="1"/>
      <c r="F98" s="1"/>
    </row>
    <row r="99" spans="1:6" ht="14.4" x14ac:dyDescent="0.3">
      <c r="A99" s="1"/>
      <c r="B99" s="1"/>
      <c r="C99" s="1"/>
      <c r="D99" s="35"/>
      <c r="E99" s="1"/>
      <c r="F99" s="1"/>
    </row>
    <row r="100" spans="1:6" ht="14.4" x14ac:dyDescent="0.3">
      <c r="A100" s="1"/>
      <c r="B100" s="1"/>
      <c r="C100" s="1"/>
      <c r="D100" s="35"/>
      <c r="E100" s="1"/>
      <c r="F100" s="1"/>
    </row>
    <row r="101" spans="1:6" ht="14.4" x14ac:dyDescent="0.3">
      <c r="A101" s="1"/>
      <c r="B101" s="1"/>
      <c r="C101" s="1"/>
      <c r="D101" s="35"/>
      <c r="E101" s="1"/>
      <c r="F101" s="1"/>
    </row>
    <row r="102" spans="1:6" ht="14.4" x14ac:dyDescent="0.3">
      <c r="A102" s="1"/>
      <c r="B102" s="1"/>
      <c r="C102" s="1"/>
      <c r="D102" s="35"/>
      <c r="E102" s="1"/>
      <c r="F102" s="1"/>
    </row>
    <row r="103" spans="1:6" ht="14.4" x14ac:dyDescent="0.3">
      <c r="A103" s="1"/>
      <c r="B103" s="1"/>
      <c r="C103" s="1"/>
      <c r="D103" s="35"/>
      <c r="E103" s="1"/>
      <c r="F103" s="1"/>
    </row>
    <row r="104" spans="1:6" ht="14.4" x14ac:dyDescent="0.3">
      <c r="A104" s="1"/>
      <c r="B104" s="1"/>
      <c r="C104" s="1"/>
      <c r="D104" s="35"/>
      <c r="E104" s="1"/>
      <c r="F104" s="1"/>
    </row>
    <row r="105" spans="1:6" ht="14.4" x14ac:dyDescent="0.3">
      <c r="A105" s="1"/>
      <c r="B105" s="1"/>
      <c r="C105" s="1"/>
      <c r="D105" s="35"/>
      <c r="E105" s="1"/>
      <c r="F105" s="1"/>
    </row>
    <row r="106" spans="1:6" ht="14.4" x14ac:dyDescent="0.3">
      <c r="A106" s="1"/>
      <c r="B106" s="1"/>
      <c r="C106" s="1"/>
      <c r="D106" s="35"/>
      <c r="E106" s="1"/>
      <c r="F106" s="1"/>
    </row>
    <row r="107" spans="1:6" ht="14.4" x14ac:dyDescent="0.3">
      <c r="A107" s="1"/>
      <c r="B107" s="1"/>
      <c r="C107" s="1"/>
      <c r="D107" s="35"/>
      <c r="E107" s="1"/>
      <c r="F107" s="1"/>
    </row>
    <row r="108" spans="1:6" ht="14.4" x14ac:dyDescent="0.3">
      <c r="A108" s="1"/>
      <c r="B108" s="1"/>
      <c r="C108" s="1"/>
      <c r="D108" s="35"/>
      <c r="E108" s="1"/>
      <c r="F108" s="1"/>
    </row>
    <row r="109" spans="1:6" ht="14.4" x14ac:dyDescent="0.3">
      <c r="A109" s="1"/>
      <c r="B109" s="1"/>
      <c r="C109" s="1"/>
      <c r="D109" s="35"/>
      <c r="E109" s="1"/>
      <c r="F109" s="1"/>
    </row>
    <row r="110" spans="1:6" ht="14.4" x14ac:dyDescent="0.3">
      <c r="A110" s="1"/>
      <c r="B110" s="1"/>
      <c r="C110" s="1"/>
      <c r="D110" s="35"/>
      <c r="E110" s="1"/>
      <c r="F110" s="1"/>
    </row>
    <row r="111" spans="1:6" ht="14.4" x14ac:dyDescent="0.3">
      <c r="A111" s="1"/>
      <c r="B111" s="1"/>
      <c r="C111" s="1"/>
      <c r="D111" s="35"/>
      <c r="E111" s="1"/>
      <c r="F111" s="1"/>
    </row>
    <row r="112" spans="1:6" ht="14.4" x14ac:dyDescent="0.3">
      <c r="A112" s="1"/>
      <c r="B112" s="1"/>
      <c r="C112" s="1"/>
      <c r="D112" s="35"/>
      <c r="E112" s="1"/>
      <c r="F112" s="1"/>
    </row>
    <row r="113" spans="1:6" ht="14.4" x14ac:dyDescent="0.3">
      <c r="A113" s="1"/>
      <c r="B113" s="1"/>
      <c r="C113" s="1"/>
      <c r="D113" s="35"/>
      <c r="E113" s="1"/>
      <c r="F113" s="1"/>
    </row>
  </sheetData>
  <mergeCells count="18">
    <mergeCell ref="A51:A55"/>
    <mergeCell ref="A56:A58"/>
    <mergeCell ref="A6:A7"/>
    <mergeCell ref="B6:B7"/>
    <mergeCell ref="A35:A50"/>
    <mergeCell ref="A8:A20"/>
    <mergeCell ref="A21:A34"/>
    <mergeCell ref="I1:J1"/>
    <mergeCell ref="K1:L1"/>
    <mergeCell ref="I2:J2"/>
    <mergeCell ref="I3:J3"/>
    <mergeCell ref="C6:H6"/>
    <mergeCell ref="I6:L6"/>
    <mergeCell ref="I59:K59"/>
    <mergeCell ref="I4:J4"/>
    <mergeCell ref="K2:L2"/>
    <mergeCell ref="K3:L3"/>
    <mergeCell ref="K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B318-DF8E-48FA-BC98-D5B9CA51ADB8}">
  <dimension ref="A1:H4"/>
  <sheetViews>
    <sheetView tabSelected="1" workbookViewId="0">
      <selection activeCell="E13" sqref="E13"/>
    </sheetView>
  </sheetViews>
  <sheetFormatPr baseColWidth="10" defaultRowHeight="14.4" x14ac:dyDescent="0.3"/>
  <cols>
    <col min="1" max="1" width="9.6640625" style="39" bestFit="1" customWidth="1"/>
    <col min="2" max="2" width="29.6640625" style="39" bestFit="1" customWidth="1"/>
    <col min="3" max="3" width="14" style="39" customWidth="1"/>
    <col min="4" max="4" width="31.21875" style="39" bestFit="1" customWidth="1"/>
    <col min="5" max="5" width="25.77734375" style="39" customWidth="1"/>
    <col min="6" max="6" width="26.33203125" style="39" bestFit="1" customWidth="1"/>
    <col min="7" max="7" width="27.77734375" style="39" bestFit="1" customWidth="1"/>
    <col min="8" max="8" width="29.77734375" style="39" bestFit="1" customWidth="1"/>
    <col min="9" max="16384" width="11.5546875" style="39"/>
  </cols>
  <sheetData>
    <row r="1" spans="1:8" ht="29.4" thickBot="1" x14ac:dyDescent="0.35">
      <c r="A1" s="41" t="s">
        <v>62</v>
      </c>
      <c r="B1" s="42" t="s">
        <v>63</v>
      </c>
      <c r="C1" s="43" t="s">
        <v>107</v>
      </c>
      <c r="D1" s="43" t="s">
        <v>0</v>
      </c>
      <c r="E1" s="43" t="s">
        <v>1</v>
      </c>
      <c r="F1" s="43" t="s">
        <v>2</v>
      </c>
      <c r="G1" s="43" t="s">
        <v>64</v>
      </c>
      <c r="H1" s="44" t="s">
        <v>84</v>
      </c>
    </row>
    <row r="2" spans="1:8" ht="45" customHeight="1" x14ac:dyDescent="0.3">
      <c r="A2" s="45" t="s">
        <v>85</v>
      </c>
      <c r="B2" s="46" t="s">
        <v>65</v>
      </c>
      <c r="C2" s="117" t="s">
        <v>104</v>
      </c>
      <c r="D2" s="47" t="s">
        <v>66</v>
      </c>
      <c r="E2" s="47" t="s">
        <v>67</v>
      </c>
      <c r="F2" s="47" t="s">
        <v>68</v>
      </c>
      <c r="G2" s="47" t="s">
        <v>69</v>
      </c>
      <c r="H2" s="48" t="s">
        <v>70</v>
      </c>
    </row>
    <row r="3" spans="1:8" ht="45" customHeight="1" x14ac:dyDescent="0.3">
      <c r="A3" s="49" t="s">
        <v>86</v>
      </c>
      <c r="B3" s="50" t="s">
        <v>71</v>
      </c>
      <c r="C3" s="51" t="s">
        <v>106</v>
      </c>
      <c r="D3" s="52" t="s">
        <v>72</v>
      </c>
      <c r="E3" s="52" t="s">
        <v>73</v>
      </c>
      <c r="F3" s="52" t="s">
        <v>74</v>
      </c>
      <c r="G3" s="52" t="s">
        <v>75</v>
      </c>
      <c r="H3" s="53" t="s">
        <v>76</v>
      </c>
    </row>
    <row r="4" spans="1:8" ht="45" customHeight="1" thickBot="1" x14ac:dyDescent="0.35">
      <c r="A4" s="54" t="s">
        <v>87</v>
      </c>
      <c r="B4" s="55" t="s">
        <v>77</v>
      </c>
      <c r="C4" s="56" t="s">
        <v>83</v>
      </c>
      <c r="D4" s="57" t="s">
        <v>78</v>
      </c>
      <c r="E4" s="57" t="s">
        <v>79</v>
      </c>
      <c r="F4" s="57" t="s">
        <v>80</v>
      </c>
      <c r="G4" s="57" t="s">
        <v>81</v>
      </c>
      <c r="H4" s="5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Modularización</vt:lpstr>
      <vt:lpstr>Priorización</vt:lpstr>
      <vt:lpstr>Dificultad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Jair Gonzalez</dc:creator>
  <cp:keywords/>
  <dc:description/>
  <cp:lastModifiedBy>Jair Gonzalez</cp:lastModifiedBy>
  <cp:revision/>
  <dcterms:created xsi:type="dcterms:W3CDTF">2015-06-05T18:19:34Z</dcterms:created>
  <dcterms:modified xsi:type="dcterms:W3CDTF">2025-10-15T13:52:39Z</dcterms:modified>
  <cp:category/>
  <cp:contentStatus/>
</cp:coreProperties>
</file>